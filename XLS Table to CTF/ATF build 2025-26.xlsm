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30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ccordmat.sharepoint.com/sites/DataDevelopment/Shared Documents/PowerBI Sources/Admissions/CTF Builder/"/>
    </mc:Choice>
  </mc:AlternateContent>
  <xr:revisionPtr revIDLastSave="30" documentId="8_{BC3562CF-27D7-4E17-A2E0-4D4C3800BC87}" xr6:coauthVersionLast="47" xr6:coauthVersionMax="47" xr10:uidLastSave="{D2E20694-6DA6-4EC8-8113-0A5CCEBEF584}"/>
  <bookViews>
    <workbookView xWindow="28635" yWindow="255" windowWidth="28965" windowHeight="14610" xr2:uid="{25A3BE7B-CB6D-4DD7-88C7-53316940C534}"/>
  </bookViews>
  <sheets>
    <sheet name="Setup" sheetId="1" r:id="rId1"/>
    <sheet name="Data" sheetId="2" r:id="rId2"/>
    <sheet name="Field List" sheetId="3" state="hidden" r:id="rId3"/>
  </sheets>
  <definedNames>
    <definedName name="_xleta.YEAR" hidden="1" xlm="1">#NAME?</definedName>
    <definedName name="ExternalData_1" localSheetId="1" hidden="1">Data!#REF!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3" i="2" l="1"/>
  <c r="AT3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C8" i="1"/>
  <c r="AS3" i="2"/>
  <c r="AR3" i="2"/>
  <c r="AQ3" i="2"/>
  <c r="AP3" i="2"/>
  <c r="B2" i="3"/>
  <c r="B3" i="3" s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C9" i="1"/>
</calcChain>
</file>

<file path=xl/sharedStrings.xml><?xml version="1.0" encoding="utf-8"?>
<sst xmlns="http://schemas.openxmlformats.org/spreadsheetml/2006/main" count="184" uniqueCount="170">
  <si>
    <t>1. Enter data for your school below...</t>
  </si>
  <si>
    <t>Parameter</t>
  </si>
  <si>
    <t>Value</t>
  </si>
  <si>
    <t>Example</t>
  </si>
  <si>
    <t>School Name</t>
  </si>
  <si>
    <t>Ossett Academy</t>
  </si>
  <si>
    <t>LEA</t>
  </si>
  <si>
    <t>DFE Num</t>
  </si>
  <si>
    <t>URN</t>
  </si>
  <si>
    <t>Output Folder</t>
  </si>
  <si>
    <t>C:\Users\username\CTF Output</t>
  </si>
  <si>
    <t>Output Filename</t>
  </si>
  <si>
    <t>3844023.ctf</t>
  </si>
  <si>
    <t>Now</t>
  </si>
  <si>
    <t>3. Click CREATE (wait for completion message) then POPULATE to write the output to the output file named above (will be created - ensure doesn't already exist or is empty)</t>
  </si>
  <si>
    <t>Child_ID</t>
  </si>
  <si>
    <t>DfES UPN</t>
  </si>
  <si>
    <t>Current School DfES</t>
  </si>
  <si>
    <t>Current School Name</t>
  </si>
  <si>
    <t>FullName</t>
  </si>
  <si>
    <t>Legal Forename</t>
  </si>
  <si>
    <t>Middle Name(s)</t>
  </si>
  <si>
    <t>Legal Surname</t>
  </si>
  <si>
    <t>Preferred Forename</t>
  </si>
  <si>
    <t>Preferred Surname</t>
  </si>
  <si>
    <t>Gender</t>
  </si>
  <si>
    <t>DOB</t>
  </si>
  <si>
    <t>Line 1</t>
  </si>
  <si>
    <t>Line 2</t>
  </si>
  <si>
    <t>Line 3</t>
  </si>
  <si>
    <t>Postcode</t>
  </si>
  <si>
    <t>C1 Forename</t>
  </si>
  <si>
    <t>C1 Surname</t>
  </si>
  <si>
    <t>C1 Title</t>
  </si>
  <si>
    <t>C1 Gender</t>
  </si>
  <si>
    <t>C1 Mobile</t>
  </si>
  <si>
    <t>C1 Landline</t>
  </si>
  <si>
    <t>C1 Work</t>
  </si>
  <si>
    <t>C1 Email</t>
  </si>
  <si>
    <t>C1 Address as Pupil</t>
  </si>
  <si>
    <t>C1 Line1</t>
  </si>
  <si>
    <t>C1 Line 2</t>
  </si>
  <si>
    <t>C1 Line 3</t>
  </si>
  <si>
    <t>C1 Postcode</t>
  </si>
  <si>
    <t>C1 Relationship</t>
  </si>
  <si>
    <t>C1 PR</t>
  </si>
  <si>
    <t>C2 Processing Consent</t>
  </si>
  <si>
    <t>C2 Forename</t>
  </si>
  <si>
    <t>C2 Surname</t>
  </si>
  <si>
    <t>C2 Title</t>
  </si>
  <si>
    <t>C2 Gender</t>
  </si>
  <si>
    <t>C2 Mobile</t>
  </si>
  <si>
    <t>C2 Landline</t>
  </si>
  <si>
    <t>C2 Work</t>
  </si>
  <si>
    <t>C2 Email</t>
  </si>
  <si>
    <t>C2 Address as Pupil</t>
  </si>
  <si>
    <t>C2 Line 1</t>
  </si>
  <si>
    <t>C2 Line 2</t>
  </si>
  <si>
    <t>C2 Line 3</t>
  </si>
  <si>
    <t>C2 Postcode</t>
  </si>
  <si>
    <t>C2 Relationship</t>
  </si>
  <si>
    <t>C2 PR</t>
  </si>
  <si>
    <t>C3 Processing Consent</t>
  </si>
  <si>
    <t>C3 Forename</t>
  </si>
  <si>
    <t>C3 Surname</t>
  </si>
  <si>
    <t>C3 Title</t>
  </si>
  <si>
    <t>C3 Gender</t>
  </si>
  <si>
    <t>C3 Mobile</t>
  </si>
  <si>
    <t>C3 Landline</t>
  </si>
  <si>
    <t>C3 Work</t>
  </si>
  <si>
    <t>C3 Email</t>
  </si>
  <si>
    <t>C3 Address as pupil</t>
  </si>
  <si>
    <t>C3 Line 1</t>
  </si>
  <si>
    <t>C3 Line 2</t>
  </si>
  <si>
    <t>C3 Line 3</t>
  </si>
  <si>
    <t>C3 Postcode</t>
  </si>
  <si>
    <t>C3 Relationship</t>
  </si>
  <si>
    <t>C3 PR</t>
  </si>
  <si>
    <t>Ethnicity</t>
  </si>
  <si>
    <t>First Language</t>
  </si>
  <si>
    <t>Medical Con</t>
  </si>
  <si>
    <t>Medical Con Type</t>
  </si>
  <si>
    <t>No</t>
  </si>
  <si>
    <t>Wakefield</t>
  </si>
  <si>
    <t>Wakefield Road</t>
  </si>
  <si>
    <t>FSM</t>
  </si>
  <si>
    <t>FSM Applied</t>
  </si>
  <si>
    <t>LAC</t>
  </si>
  <si>
    <t>LAC Authority</t>
  </si>
  <si>
    <t>PEP</t>
  </si>
  <si>
    <t>CP</t>
  </si>
  <si>
    <t>CP Authority</t>
  </si>
  <si>
    <t>SGO</t>
  </si>
  <si>
    <t>SEN</t>
  </si>
  <si>
    <t>EHC</t>
  </si>
  <si>
    <t>In Care</t>
  </si>
  <si>
    <t>FSMstartDate</t>
  </si>
  <si>
    <t>UKcountry</t>
  </si>
  <si>
    <t>FSMreviewDate</t>
  </si>
  <si>
    <t>LA NAME</t>
  </si>
  <si>
    <t>Academic Year</t>
  </si>
  <si>
    <t>Start Year of the Academic Year</t>
  </si>
  <si>
    <t>Application Ref</t>
  </si>
  <si>
    <t>UPN</t>
  </si>
  <si>
    <t>Forename</t>
  </si>
  <si>
    <t>Surname</t>
  </si>
  <si>
    <t>Application Status</t>
  </si>
  <si>
    <t>Offer Response</t>
  </si>
  <si>
    <t>Late</t>
  </si>
  <si>
    <t>CLA</t>
  </si>
  <si>
    <t>Distance</t>
  </si>
  <si>
    <t>Child Address Name</t>
  </si>
  <si>
    <t>Child Address Building</t>
  </si>
  <si>
    <t>Child Address Street No</t>
  </si>
  <si>
    <t>Child Address Street</t>
  </si>
  <si>
    <t>Child Address Locality</t>
  </si>
  <si>
    <t>Child Address Town</t>
  </si>
  <si>
    <t>Child Address County</t>
  </si>
  <si>
    <t>Child Address Postcode</t>
  </si>
  <si>
    <t>Applicant Forename</t>
  </si>
  <si>
    <t>Applicant Surname</t>
  </si>
  <si>
    <t>Relationship</t>
  </si>
  <si>
    <t>Applicant Address Name</t>
  </si>
  <si>
    <t>Applicant Address Building</t>
  </si>
  <si>
    <t>Applicant Address Street No</t>
  </si>
  <si>
    <t>Applicant Address Street</t>
  </si>
  <si>
    <t>Applicant Address Locality</t>
  </si>
  <si>
    <t>Applicant Address Town</t>
  </si>
  <si>
    <t>Applicant Address County</t>
  </si>
  <si>
    <t>Applicant Address Postcode</t>
  </si>
  <si>
    <t>Home Phone</t>
  </si>
  <si>
    <t>Work Phone</t>
  </si>
  <si>
    <t>Mobile Phone</t>
  </si>
  <si>
    <t>Email</t>
  </si>
  <si>
    <t>Sibling Forename</t>
  </si>
  <si>
    <t>Sibling Surname</t>
  </si>
  <si>
    <t>Appeal Result</t>
  </si>
  <si>
    <t>Updated</t>
  </si>
  <si>
    <t>Current Establishment</t>
  </si>
  <si>
    <t>Multiple Birth</t>
  </si>
  <si>
    <t>Male</t>
  </si>
  <si>
    <t>Active</t>
  </si>
  <si>
    <t>Accepting pending request</t>
  </si>
  <si>
    <t>Mother</t>
  </si>
  <si>
    <t>St Michael's CofE Academy</t>
  </si>
  <si>
    <t>ContactTitle</t>
  </si>
  <si>
    <t>ContactGender</t>
  </si>
  <si>
    <t>RelationCode</t>
  </si>
  <si>
    <t>Lives With Pupil</t>
  </si>
  <si>
    <t>Sequence</t>
  </si>
  <si>
    <t>001</t>
  </si>
  <si>
    <t>File number</t>
  </si>
  <si>
    <r>
      <t xml:space="preserve">2. Populate the table on the Data tab. Do not change the column order or naming. </t>
    </r>
    <r>
      <rPr>
        <b/>
        <sz val="11"/>
        <color theme="1"/>
        <rFont val="Calibri"/>
        <family val="2"/>
        <scheme val="minor"/>
      </rPr>
      <t>Ensure formatting of DOB column is yyyy-mm-dd.</t>
    </r>
  </si>
  <si>
    <t>DB</t>
  </si>
  <si>
    <t>FN</t>
  </si>
  <si>
    <t>2.102 mi</t>
  </si>
  <si>
    <t>sample@email.com</t>
  </si>
  <si>
    <t>078791234567</t>
  </si>
  <si>
    <t>WF1 1FW</t>
  </si>
  <si>
    <t>Little Wakefield</t>
  </si>
  <si>
    <t>West Yorkshire</t>
  </si>
  <si>
    <t>Teal House</t>
  </si>
  <si>
    <t>Mumford</t>
  </si>
  <si>
    <t>Chilford</t>
  </si>
  <si>
    <t>Tester</t>
  </si>
  <si>
    <t>Z123456789876</t>
  </si>
  <si>
    <t>123-2025-09-E-111111</t>
  </si>
  <si>
    <t>My School</t>
  </si>
  <si>
    <t>C:\Users\YourUsername\Downloads\ATF</t>
  </si>
  <si>
    <t>Your 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</si>
</sst>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/>
        <bgColor theme="9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3" borderId="1" applyNumberFormat="0" applyAlignment="0" applyProtection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center"/>
    </xf>
    <xf numFmtId="0" fontId="2" fillId="0" borderId="0" xfId="2" applyBorder="1" applyAlignment="1">
      <alignment horizontal="right" vertical="center"/>
    </xf>
    <xf numFmtId="0" fontId="1" fillId="2" borderId="3" xfId="1" applyBorder="1" applyAlignment="1">
      <alignment vertical="center"/>
    </xf>
    <xf numFmtId="0" fontId="1" fillId="2" borderId="1" xfId="1" applyAlignment="1">
      <alignment vertical="center"/>
    </xf>
    <xf numFmtId="0" fontId="1" fillId="2" borderId="2" xfId="1" applyBorder="1" applyAlignment="1">
      <alignment vertical="center"/>
    </xf>
    <xf numFmtId="0" fontId="0" fillId="0" borderId="7" xfId="0" applyBorder="1" applyAlignment="1">
      <alignment vertical="center"/>
    </xf>
    <xf numFmtId="0" fontId="2" fillId="0" borderId="8" xfId="2" applyBorder="1" applyAlignment="1">
      <alignment horizontal="right" vertical="center"/>
    </xf>
    <xf numFmtId="0" fontId="3" fillId="3" borderId="1" xfId="3" applyAlignment="1">
      <alignment vertical="center"/>
    </xf>
    <xf numFmtId="0" fontId="4" fillId="4" borderId="9" xfId="0" applyFont="1" applyFill="1" applyBorder="1"/>
    <xf numFmtId="0" fontId="4" fillId="4" borderId="10" xfId="0" applyFont="1" applyFill="1" applyBorder="1"/>
    <xf numFmtId="0" fontId="4" fillId="4" borderId="11" xfId="0" applyFont="1" applyFill="1" applyBorder="1"/>
    <xf numFmtId="14" fontId="3" fillId="3" borderId="1" xfId="3" applyNumberFormat="1" applyAlignment="1">
      <alignment vertical="center"/>
    </xf>
    <xf numFmtId="14" fontId="1" fillId="2" borderId="2" xfId="1" applyNumberFormat="1" applyBorder="1" applyAlignment="1">
      <alignment vertical="center"/>
    </xf>
    <xf numFmtId="0" fontId="1" fillId="2" borderId="1" xfId="1" applyNumberFormat="1" applyAlignment="1">
      <alignment vertical="center"/>
    </xf>
    <xf numFmtId="15" fontId="0" fillId="0" borderId="0" xfId="0" applyNumberFormat="1"/>
    <xf numFmtId="0" fontId="0" fillId="0" borderId="0" xfId="0" quotePrefix="1"/>
    <xf numFmtId="0" fontId="0" fillId="5" borderId="0" xfId="0" applyFill="1"/>
    <xf numFmtId="0" fontId="1" fillId="2" borderId="2" xfId="1" quotePrefix="1" applyBorder="1" applyAlignment="1">
      <alignment vertical="center"/>
    </xf>
    <xf numFmtId="164" fontId="0" fillId="0" borderId="0" xfId="0" applyNumberFormat="1"/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6" fillId="0" borderId="0" xfId="4"/>
  </cellXfs>
  <cellStyles count="5">
    <cellStyle name="Calculation" xfId="3" builtinId="22"/>
    <cellStyle name="Explanatory Text" xfId="2" builtinId="53"/>
    <cellStyle name="Hyperlink" xfId="4" builtinId="8"/>
    <cellStyle name="Input" xfId="1" builtinId="20"/>
    <cellStyle name="Normal" xfId="0" builtinId="0"/>
  </cellStyles>
  <dxfs count="5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d\-mmm\-yy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0" formatCode="dd\-mmm\-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outline="0">
        <right style="thin">
          <color rgb="FF7F7F7F"/>
        </right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Invisible" pivot="0" table="0" count="0" xr9:uid="{92069FBE-8207-44D3-A688-5061C62C7E3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15</xdr:row>
      <xdr:rowOff>57151</xdr:rowOff>
    </xdr:from>
    <xdr:to>
      <xdr:col>3</xdr:col>
      <xdr:colOff>581025</xdr:colOff>
      <xdr:row>15</xdr:row>
      <xdr:rowOff>342901</xdr:rowOff>
    </xdr:to>
    <xdr:sp macro="[0]!create_text_file" textlink="">
      <xdr:nvSpPr>
        <xdr:cNvPr id="2" name="Rectangle 1">
          <a:extLst>
            <a:ext uri="{FF2B5EF4-FFF2-40B4-BE49-F238E27FC236}">
              <a16:creationId xmlns:a16="http://schemas.microsoft.com/office/drawing/2014/main" id="{8E853877-B85B-AE03-1183-235B41B6D331}"/>
            </a:ext>
          </a:extLst>
        </xdr:cNvPr>
        <xdr:cNvSpPr/>
      </xdr:nvSpPr>
      <xdr:spPr>
        <a:xfrm>
          <a:off x="2000250" y="3657601"/>
          <a:ext cx="24765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 CREATE EMPTY</a:t>
          </a:r>
          <a:r>
            <a:rPr lang="en-GB" sz="1100" b="1" baseline="0"/>
            <a:t> </a:t>
          </a:r>
          <a:r>
            <a:rPr lang="en-GB" sz="1100" b="1"/>
            <a:t>ATF</a:t>
          </a:r>
        </a:p>
      </xdr:txBody>
    </xdr:sp>
    <xdr:clientData/>
  </xdr:twoCellAnchor>
  <xdr:twoCellAnchor>
    <xdr:from>
      <xdr:col>2</xdr:col>
      <xdr:colOff>295274</xdr:colOff>
      <xdr:row>15</xdr:row>
      <xdr:rowOff>371475</xdr:rowOff>
    </xdr:from>
    <xdr:to>
      <xdr:col>3</xdr:col>
      <xdr:colOff>581025</xdr:colOff>
      <xdr:row>17</xdr:row>
      <xdr:rowOff>9525</xdr:rowOff>
    </xdr:to>
    <xdr:sp macro="[0]!data_to_text_file" textlink="">
      <xdr:nvSpPr>
        <xdr:cNvPr id="3" name="Rectangle 2">
          <a:extLst>
            <a:ext uri="{FF2B5EF4-FFF2-40B4-BE49-F238E27FC236}">
              <a16:creationId xmlns:a16="http://schemas.microsoft.com/office/drawing/2014/main" id="{599CAFBD-8D4E-02FF-5C9B-4F384A82CE0F}"/>
            </a:ext>
          </a:extLst>
        </xdr:cNvPr>
        <xdr:cNvSpPr/>
      </xdr:nvSpPr>
      <xdr:spPr>
        <a:xfrm>
          <a:off x="2000249" y="3971925"/>
          <a:ext cx="2476501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POPULATE ATF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881A26-3DA6-45E0-9A8B-BA9F6B9D2C77}" name="Params" displayName="Params" ref="B2:D12" totalsRowShown="0" headerRowDxfId="51" dataDxfId="49" headerRowBorderDxfId="50" tableBorderDxfId="48">
  <autoFilter ref="B2:D12" xr:uid="{0F881A26-3DA6-45E0-9A8B-BA9F6B9D2C77}"/>
  <tableColumns count="3">
    <tableColumn id="1" xr3:uid="{1E56215A-0CFB-4FDB-B871-CEAABDB02C56}" name="Parameter" dataDxfId="47"/>
    <tableColumn id="2" xr3:uid="{2C58F9BF-CD95-4411-B60A-D3B84072B2E9}" name="Value" dataDxfId="46" dataCellStyle="Input"/>
    <tableColumn id="3" xr3:uid="{6BDFE74B-1F29-476C-AC7E-4A97BCB9165A}" name="Example" dataDxfId="45" dataCellStyle="Explanatory Text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A9CA9F-4FF0-4CD8-BCB6-1754B61B437E}" name="SourceData" displayName="SourceData" ref="A2:AU3" totalsRowShown="0">
  <autoFilter ref="A2:AU3" xr:uid="{86A9CA9F-4FF0-4CD8-BCB6-1754B61B437E}"/>
  <tableColumns count="47">
    <tableColumn id="14" xr3:uid="{D768E15C-ECAB-47F5-8DA9-AE567BF7D1C4}" name="Application Ref" dataDxfId="44"/>
    <tableColumn id="15" xr3:uid="{B22F8AD4-A918-4AA3-ADF5-AEF06D70C540}" name="UPN" dataDxfId="43"/>
    <tableColumn id="26" xr3:uid="{EB40E42B-F83F-43B8-B791-928FF634955B}" name="Forename" dataDxfId="42"/>
    <tableColumn id="28" xr3:uid="{8EC8EBB7-7E75-460F-92A5-C66BB68BDB59}" name="Surname" dataDxfId="41"/>
    <tableColumn id="29" xr3:uid="{5103FD0B-8F78-4FCD-9F83-A6892D7199EC}" name="Gender" dataDxfId="40"/>
    <tableColumn id="30" xr3:uid="{68609444-1FD1-47A9-9615-DB43FAD3CD67}" name="DOB" dataDxfId="39"/>
    <tableColumn id="3" xr3:uid="{83F3A46E-CC78-4B3F-918E-380346B7CA4E}" name="Application Status" dataDxfId="38"/>
    <tableColumn id="5" xr3:uid="{EFAD4CDB-B790-4E09-81C3-D444F3F32840}" name="Offer Response" dataDxfId="37"/>
    <tableColumn id="34" xr3:uid="{DB155F0E-77FF-4304-BA6E-D421BAC6C3C1}" name="Late" dataDxfId="36"/>
    <tableColumn id="33" xr3:uid="{53B5612D-621B-4C4C-B91A-982E0D3750B7}" name="CLA" dataDxfId="35"/>
    <tableColumn id="35" xr3:uid="{ED6CD6FC-12F0-4CED-ACE2-90B292FE46F1}" name="SEN" dataDxfId="34"/>
    <tableColumn id="36" xr3:uid="{87C4E010-08C8-41EA-AC7B-2A4AEEFDCF77}" name="Distance" dataDxfId="33"/>
    <tableColumn id="37" xr3:uid="{361C4A88-5834-45A3-9B35-3AC55E8F949E}" name="Child Address Name" dataDxfId="32"/>
    <tableColumn id="38" xr3:uid="{DFE655C9-4154-4E7F-97F1-AF7C85C7F2CD}" name="Child Address Building" dataDxfId="31"/>
    <tableColumn id="39" xr3:uid="{72B675CD-9E8F-40A9-80EF-19D647BA63FF}" name="Child Address Street No" dataDxfId="30"/>
    <tableColumn id="40" xr3:uid="{88BC8E18-CB5C-4AC6-9D74-4B5CF9243ACE}" name="Child Address Street" dataDxfId="29"/>
    <tableColumn id="41" xr3:uid="{4A5EECDD-09F8-4B05-8AC6-680A79C51873}" name="Child Address Locality" dataDxfId="28"/>
    <tableColumn id="7" xr3:uid="{4F9C7CEF-156B-44B3-BDBF-83FACAEAABE6}" name="Child Address Town"/>
    <tableColumn id="42" xr3:uid="{7A64CCC5-0247-4377-B44B-1543991AA561}" name="Child Address County" dataDxfId="27"/>
    <tableColumn id="43" xr3:uid="{91558E6E-66F6-49E2-AD8A-3906C56AC359}" name="Child Address Postcode" dataDxfId="26"/>
    <tableColumn id="44" xr3:uid="{6D80556F-743C-443D-B81E-D0262109DBFB}" name="Applicant Forename" dataDxfId="25"/>
    <tableColumn id="45" xr3:uid="{151789DA-B2A2-4217-97CA-F7C1FADF7D83}" name="Applicant Surname" dataDxfId="24"/>
    <tableColumn id="46" xr3:uid="{519E98D1-0EE1-4F74-8BC6-F033471EF196}" name="Relationship" dataDxfId="23"/>
    <tableColumn id="47" xr3:uid="{0F413C46-4717-4FCB-999F-02173FB95AAC}" name="Applicant Address Name" dataDxfId="22"/>
    <tableColumn id="48" xr3:uid="{AC54CE1E-5FE0-4237-A8DC-E246F512F439}" name="Applicant Address Building" dataDxfId="21"/>
    <tableColumn id="49" xr3:uid="{302CC5F8-D86C-4B88-9B38-AD90D5E3140B}" name="Applicant Address Street No" dataDxfId="20"/>
    <tableColumn id="50" xr3:uid="{085A7D55-CD16-4243-967E-97F80553DB18}" name="Applicant Address Street" dataDxfId="19"/>
    <tableColumn id="51" xr3:uid="{0741AD60-A67A-4F69-9B29-178E89BCEAA3}" name="Applicant Address Locality" dataDxfId="18"/>
    <tableColumn id="52" xr3:uid="{DC4052B8-CC41-43A3-9096-47D68D4AE886}" name="Applicant Address Town" dataDxfId="17"/>
    <tableColumn id="53" xr3:uid="{491DA4C4-01AF-4B20-B432-1A627A68F2BD}" name="Applicant Address County" dataDxfId="16"/>
    <tableColumn id="54" xr3:uid="{99CD4DAA-CAE1-4BE7-9815-B4DBBA507E7C}" name="Applicant Address Postcode" dataDxfId="15"/>
    <tableColumn id="55" xr3:uid="{5217A98C-3288-4647-9331-A49745E54B41}" name="Home Phone" dataDxfId="14"/>
    <tableColumn id="56" xr3:uid="{B67D5EA8-28F9-4995-A071-C41A975FB696}" name="Work Phone" dataDxfId="13"/>
    <tableColumn id="8" xr3:uid="{5ECEF8BD-14B1-49C4-89E2-D527E5A14E33}" name="Mobile Phone"/>
    <tableColumn id="57" xr3:uid="{B91383CE-3D67-4394-9D12-28F0B4469AE9}" name="Email" dataDxfId="12" dataCellStyle="Hyperlink"/>
    <tableColumn id="58" xr3:uid="{7AD816FD-3D66-425D-B464-3FCD989AC69F}" name="Sibling Forename" dataDxfId="11"/>
    <tableColumn id="59" xr3:uid="{6880ECD7-3A00-45C4-8D7F-D9B140F4EF6A}" name="Sibling Surname" dataDxfId="10"/>
    <tableColumn id="60" xr3:uid="{7898FBE2-6730-40DE-B21E-77869EE1EBD9}" name="Appeal Result" dataDxfId="9"/>
    <tableColumn id="61" xr3:uid="{A5CD5658-9FE2-4359-990D-613327FC286A}" name="Updated" dataDxfId="8"/>
    <tableColumn id="62" xr3:uid="{ED803A1E-E76B-47C7-8A4B-D31DC720A0B9}" name="Current Establishment" dataDxfId="7"/>
    <tableColumn id="63" xr3:uid="{B01C5BE3-5CFB-4B3D-9C2F-08225FC55D5E}" name="Multiple Birth" dataDxfId="6"/>
    <tableColumn id="4" xr3:uid="{272DA732-4470-47F6-B3BF-5D52790F1971}" name="ContactTitle" dataDxfId="5">
      <calculatedColumnFormula>IF(SourceData[[#This Row],[Relationship]]="Mother","Mrs","Mr")</calculatedColumnFormula>
    </tableColumn>
    <tableColumn id="6" xr3:uid="{3056E2E0-DCF6-4298-A5A7-04B4AEE7613C}" name="ContactGender" dataDxfId="4">
      <calculatedColumnFormula>IF(SourceData[[#This Row],[Relationship]]="Mother","F","M")</calculatedColumnFormula>
    </tableColumn>
    <tableColumn id="9" xr3:uid="{F384D778-3E31-4B14-B064-4516EB02191C}" name="RelationCode" dataDxfId="3">
      <calculatedColumnFormula>IF(SourceData[[#This Row],[Relationship]]="Mother","PAM",IF(SourceData[[#This Row],[Relationship]]="Father","PAF","FAM"))</calculatedColumnFormula>
    </tableColumn>
    <tableColumn id="10" xr3:uid="{7A8DC792-4AA9-479B-B10A-BF71A4C48291}" name="Lives With Pupil" dataDxfId="2">
      <calculatedColumnFormula>IF(SourceData[[#This Row],[Applicant Address Street No]]&amp;SourceData[[#This Row],[Applicant Address Street]]=SourceData[[#This Row],[Child Address Street No]]&amp;SourceData[[#This Row],[Child Address Street]],"true","false")</calculatedColumnFormula>
    </tableColumn>
    <tableColumn id="1" xr3:uid="{28C27AD3-B081-4758-A633-4812A422AD69}" name="DB" dataDxfId="1">
      <calculatedColumnFormula>TEXT(SourceData[[#This Row],[DOB]],"yyyy")&amp;"-"&amp;TEXT(SourceData[[#This Row],[DOB]],"mm")&amp;"-"&amp;TEXT(SourceData[[#This Row],[DOB]],"dd")</calculatedColumnFormula>
    </tableColumn>
    <tableColumn id="2" xr3:uid="{48EB9B88-F4EB-4D6E-A84F-5A74F2FDC4FF}" name="FN" dataDxfId="0">
      <calculatedColumnFormula>CLEAN(TRIM(IFERROR(LEFT(SourceData[[#This Row],[Forename]],FIND(" ",SourceData[[#This Row],[Forename]],1)),SourceData[[#This Row],[Forename]])))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ample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3E670-E6FA-4571-8B30-09645268CFED}">
  <sheetPr codeName="Sheet1"/>
  <dimension ref="B1:D17"/>
  <sheetViews>
    <sheetView tabSelected="1" workbookViewId="0">
      <selection activeCell="C11" sqref="C11"/>
    </sheetView>
  </sheetViews>
  <sheetFormatPr defaultRowHeight="15" x14ac:dyDescent="0.25"/>
  <cols>
    <col min="2" max="2" width="16.42578125" customWidth="1"/>
    <col min="3" max="3" width="36.85546875" customWidth="1"/>
    <col min="4" max="4" width="31.42578125" bestFit="1" customWidth="1"/>
  </cols>
  <sheetData>
    <row r="1" spans="2:4" ht="30" customHeight="1" thickBot="1" x14ac:dyDescent="0.3">
      <c r="B1" s="23" t="s">
        <v>0</v>
      </c>
      <c r="C1" s="23"/>
      <c r="D1" s="23"/>
    </row>
    <row r="2" spans="2:4" ht="15.75" thickBot="1" x14ac:dyDescent="0.3">
      <c r="B2" s="1" t="s">
        <v>1</v>
      </c>
      <c r="C2" s="2" t="s">
        <v>2</v>
      </c>
      <c r="D2" s="3" t="s">
        <v>3</v>
      </c>
    </row>
    <row r="3" spans="2:4" s="4" customFormat="1" ht="24" customHeight="1" x14ac:dyDescent="0.25">
      <c r="B3" s="4" t="s">
        <v>4</v>
      </c>
      <c r="C3" s="6" t="s">
        <v>167</v>
      </c>
      <c r="D3" s="5" t="s">
        <v>5</v>
      </c>
    </row>
    <row r="4" spans="2:4" s="4" customFormat="1" ht="24" customHeight="1" x14ac:dyDescent="0.25">
      <c r="B4" s="4" t="s">
        <v>6</v>
      </c>
      <c r="C4" s="7">
        <v>384</v>
      </c>
      <c r="D4" s="5">
        <v>384</v>
      </c>
    </row>
    <row r="5" spans="2:4" s="4" customFormat="1" ht="24" customHeight="1" x14ac:dyDescent="0.25">
      <c r="B5" s="4" t="s">
        <v>7</v>
      </c>
      <c r="C5" s="7">
        <v>4001</v>
      </c>
      <c r="D5" s="5">
        <v>4023</v>
      </c>
    </row>
    <row r="6" spans="2:4" s="4" customFormat="1" ht="24" customHeight="1" x14ac:dyDescent="0.25">
      <c r="B6" s="4" t="s">
        <v>8</v>
      </c>
      <c r="C6" s="8">
        <v>136466</v>
      </c>
      <c r="D6" s="5">
        <v>138707</v>
      </c>
    </row>
    <row r="7" spans="2:4" ht="24" customHeight="1" x14ac:dyDescent="0.25">
      <c r="B7" s="9" t="s">
        <v>9</v>
      </c>
      <c r="C7" s="8" t="s">
        <v>168</v>
      </c>
      <c r="D7" s="10" t="s">
        <v>10</v>
      </c>
    </row>
    <row r="8" spans="2:4" ht="24" customHeight="1" x14ac:dyDescent="0.25">
      <c r="B8" s="9" t="s">
        <v>11</v>
      </c>
      <c r="C8" s="11" t="str">
        <f>C4&amp;"LLLL_ATF_"&amp;C4&amp;C5&amp;"_"&amp; RIGHT(C11,2) &amp; C12 &amp;".xml"</f>
        <v>384LLLL_ATF_3844001_25001.xml</v>
      </c>
      <c r="D8" s="10" t="s">
        <v>12</v>
      </c>
    </row>
    <row r="9" spans="2:4" ht="24" customHeight="1" x14ac:dyDescent="0.25">
      <c r="B9" s="9" t="s">
        <v>13</v>
      </c>
      <c r="C9" s="15" t="str">
        <f ca="1">TEXT(NOW(),"YYYY-MM-DDThh:mm:ss")</f>
        <v>2025-03-21T09:15:48</v>
      </c>
      <c r="D9" s="10"/>
    </row>
    <row r="10" spans="2:4" ht="24" customHeight="1" x14ac:dyDescent="0.25">
      <c r="B10" s="9" t="s">
        <v>99</v>
      </c>
      <c r="C10" s="16" t="s">
        <v>169</v>
      </c>
      <c r="D10" s="10"/>
    </row>
    <row r="11" spans="2:4" x14ac:dyDescent="0.25">
      <c r="B11" s="9" t="s">
        <v>100</v>
      </c>
      <c r="C11" s="17">
        <v>2025</v>
      </c>
      <c r="D11" s="10" t="s">
        <v>101</v>
      </c>
    </row>
    <row r="12" spans="2:4" x14ac:dyDescent="0.25">
      <c r="B12" s="9" t="s">
        <v>149</v>
      </c>
      <c r="C12" s="21" t="s">
        <v>150</v>
      </c>
      <c r="D12" s="10" t="s">
        <v>151</v>
      </c>
    </row>
    <row r="13" spans="2:4" x14ac:dyDescent="0.25">
      <c r="C13" s="19"/>
    </row>
    <row r="14" spans="2:4" ht="39.75" customHeight="1" x14ac:dyDescent="0.25">
      <c r="B14" s="24" t="s">
        <v>152</v>
      </c>
      <c r="C14" s="24"/>
      <c r="D14" s="24"/>
    </row>
    <row r="15" spans="2:4" ht="49.5" customHeight="1" x14ac:dyDescent="0.25">
      <c r="B15" s="24" t="s">
        <v>14</v>
      </c>
      <c r="C15" s="24"/>
      <c r="D15" s="24"/>
    </row>
    <row r="16" spans="2:4" ht="26.25" customHeight="1" x14ac:dyDescent="0.25">
      <c r="B16" s="25"/>
      <c r="C16" s="25"/>
      <c r="D16" s="25"/>
    </row>
    <row r="17" ht="21.75" customHeight="1" x14ac:dyDescent="0.25"/>
  </sheetData>
  <mergeCells count="4">
    <mergeCell ref="B1:D1"/>
    <mergeCell ref="B14:D14"/>
    <mergeCell ref="B15:D15"/>
    <mergeCell ref="B16:D1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A7CC8-8B09-419A-9263-57E7E92FF3A8}">
  <sheetPr codeName="Sheet3"/>
  <dimension ref="A1:AU3"/>
  <sheetViews>
    <sheetView zoomScale="85" zoomScaleNormal="85" workbookViewId="0">
      <selection activeCell="L18" sqref="L18"/>
    </sheetView>
  </sheetViews>
  <sheetFormatPr defaultRowHeight="15" x14ac:dyDescent="0.25"/>
  <cols>
    <col min="1" max="1" width="20.28515625" bestFit="1" customWidth="1"/>
    <col min="2" max="2" width="15" bestFit="1" customWidth="1"/>
    <col min="3" max="3" width="28.85546875" bestFit="1" customWidth="1"/>
    <col min="4" max="4" width="19.5703125" bestFit="1" customWidth="1"/>
    <col min="5" max="5" width="10" bestFit="1" customWidth="1"/>
    <col min="6" max="6" width="12.42578125" style="22" customWidth="1"/>
    <col min="7" max="7" width="19.5703125" bestFit="1" customWidth="1"/>
    <col min="8" max="8" width="25.140625" bestFit="1" customWidth="1"/>
    <col min="9" max="9" width="7" bestFit="1" customWidth="1"/>
    <col min="10" max="10" width="6.5703125" bestFit="1" customWidth="1"/>
    <col min="11" max="11" width="6.7109375" bestFit="1" customWidth="1"/>
    <col min="12" max="12" width="10.85546875" bestFit="1" customWidth="1"/>
    <col min="13" max="13" width="21.42578125" bestFit="1" customWidth="1"/>
    <col min="14" max="14" width="23.42578125" bestFit="1" customWidth="1"/>
    <col min="15" max="15" width="24.7109375" bestFit="1" customWidth="1"/>
    <col min="16" max="16" width="22.5703125" bestFit="1" customWidth="1"/>
    <col min="17" max="17" width="22.85546875" bestFit="1" customWidth="1"/>
    <col min="18" max="18" width="21" bestFit="1" customWidth="1"/>
    <col min="19" max="19" width="22.42578125" bestFit="1" customWidth="1"/>
    <col min="20" max="20" width="24.42578125" bestFit="1" customWidth="1"/>
    <col min="21" max="21" width="22" bestFit="1" customWidth="1"/>
    <col min="22" max="22" width="20.28515625" bestFit="1" customWidth="1"/>
    <col min="23" max="23" width="20.7109375" bestFit="1" customWidth="1"/>
    <col min="24" max="24" width="25.42578125" bestFit="1" customWidth="1"/>
    <col min="25" max="25" width="27.42578125" bestFit="1" customWidth="1"/>
    <col min="26" max="26" width="28.7109375" bestFit="1" customWidth="1"/>
    <col min="27" max="27" width="25.5703125" bestFit="1" customWidth="1"/>
    <col min="28" max="28" width="26.85546875" bestFit="1" customWidth="1"/>
    <col min="29" max="29" width="25" bestFit="1" customWidth="1"/>
    <col min="30" max="30" width="26.42578125" bestFit="1" customWidth="1"/>
    <col min="31" max="31" width="28.42578125" bestFit="1" customWidth="1"/>
    <col min="32" max="32" width="14.7109375" bestFit="1" customWidth="1"/>
    <col min="33" max="33" width="14.28515625" bestFit="1" customWidth="1"/>
    <col min="34" max="34" width="16" bestFit="1" customWidth="1"/>
    <col min="35" max="35" width="41" bestFit="1" customWidth="1"/>
    <col min="36" max="36" width="26.85546875" bestFit="1" customWidth="1"/>
    <col min="37" max="37" width="17.7109375" bestFit="1" customWidth="1"/>
    <col min="38" max="38" width="15.7109375" bestFit="1" customWidth="1"/>
    <col min="39" max="39" width="11" bestFit="1" customWidth="1"/>
    <col min="40" max="40" width="65.42578125" bestFit="1" customWidth="1"/>
    <col min="41" max="41" width="15.85546875" bestFit="1" customWidth="1"/>
    <col min="42" max="42" width="12.5703125" bestFit="1" customWidth="1"/>
    <col min="43" max="43" width="17.5703125" bestFit="1" customWidth="1"/>
    <col min="44" max="44" width="12.5703125" bestFit="1" customWidth="1"/>
    <col min="46" max="46" width="18.5703125" customWidth="1"/>
    <col min="47" max="47" width="12.5703125" bestFit="1" customWidth="1"/>
    <col min="48" max="48" width="17.5703125" bestFit="1" customWidth="1"/>
    <col min="49" max="49" width="18.42578125" bestFit="1" customWidth="1"/>
  </cols>
  <sheetData>
    <row r="1" spans="1:47" x14ac:dyDescent="0.25">
      <c r="A1">
        <v>1</v>
      </c>
      <c r="B1">
        <f t="shared" ref="B1:AR1" si="0">A1+1</f>
        <v>2</v>
      </c>
      <c r="C1">
        <f t="shared" si="0"/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  <c r="AO1">
        <f t="shared" si="0"/>
        <v>41</v>
      </c>
      <c r="AP1">
        <f t="shared" si="0"/>
        <v>42</v>
      </c>
      <c r="AQ1">
        <f t="shared" si="0"/>
        <v>43</v>
      </c>
      <c r="AR1">
        <f t="shared" si="0"/>
        <v>44</v>
      </c>
      <c r="AS1">
        <f t="shared" ref="AS1" si="1">AR1+1</f>
        <v>45</v>
      </c>
      <c r="AT1">
        <f t="shared" ref="AT1:AU1" si="2">AS1+1</f>
        <v>46</v>
      </c>
      <c r="AU1">
        <f t="shared" si="2"/>
        <v>47</v>
      </c>
    </row>
    <row r="2" spans="1:47" x14ac:dyDescent="0.25">
      <c r="A2" t="s">
        <v>102</v>
      </c>
      <c r="B2" t="s">
        <v>103</v>
      </c>
      <c r="C2" t="s">
        <v>104</v>
      </c>
      <c r="D2" t="s">
        <v>105</v>
      </c>
      <c r="E2" t="s">
        <v>25</v>
      </c>
      <c r="F2" s="22" t="s">
        <v>26</v>
      </c>
      <c r="G2" t="s">
        <v>106</v>
      </c>
      <c r="H2" t="s">
        <v>107</v>
      </c>
      <c r="I2" t="s">
        <v>108</v>
      </c>
      <c r="J2" t="s">
        <v>109</v>
      </c>
      <c r="K2" t="s">
        <v>93</v>
      </c>
      <c r="L2" t="s">
        <v>110</v>
      </c>
      <c r="M2" t="s">
        <v>111</v>
      </c>
      <c r="N2" t="s">
        <v>112</v>
      </c>
      <c r="O2" t="s">
        <v>113</v>
      </c>
      <c r="P2" t="s">
        <v>114</v>
      </c>
      <c r="Q2" t="s">
        <v>115</v>
      </c>
      <c r="R2" t="s">
        <v>116</v>
      </c>
      <c r="S2" t="s">
        <v>117</v>
      </c>
      <c r="T2" t="s">
        <v>118</v>
      </c>
      <c r="U2" t="s">
        <v>119</v>
      </c>
      <c r="V2" t="s">
        <v>120</v>
      </c>
      <c r="W2" t="s">
        <v>121</v>
      </c>
      <c r="X2" t="s">
        <v>122</v>
      </c>
      <c r="Y2" t="s">
        <v>123</v>
      </c>
      <c r="Z2" t="s">
        <v>124</v>
      </c>
      <c r="AA2" t="s">
        <v>125</v>
      </c>
      <c r="AB2" t="s">
        <v>126</v>
      </c>
      <c r="AC2" t="s">
        <v>127</v>
      </c>
      <c r="AD2" t="s">
        <v>128</v>
      </c>
      <c r="AE2" t="s">
        <v>129</v>
      </c>
      <c r="AF2" t="s">
        <v>130</v>
      </c>
      <c r="AG2" t="s">
        <v>131</v>
      </c>
      <c r="AH2" t="s">
        <v>132</v>
      </c>
      <c r="AI2" t="s">
        <v>133</v>
      </c>
      <c r="AJ2" t="s">
        <v>134</v>
      </c>
      <c r="AK2" t="s">
        <v>135</v>
      </c>
      <c r="AL2" t="s">
        <v>136</v>
      </c>
      <c r="AM2" t="s">
        <v>137</v>
      </c>
      <c r="AN2" t="s">
        <v>138</v>
      </c>
      <c r="AO2" t="s">
        <v>139</v>
      </c>
      <c r="AP2" s="20" t="s">
        <v>145</v>
      </c>
      <c r="AQ2" s="20" t="s">
        <v>146</v>
      </c>
      <c r="AR2" s="20" t="s">
        <v>147</v>
      </c>
      <c r="AS2" s="20" t="s">
        <v>148</v>
      </c>
      <c r="AT2" s="20" t="s">
        <v>153</v>
      </c>
      <c r="AU2" s="20" t="s">
        <v>154</v>
      </c>
    </row>
    <row r="3" spans="1:47" x14ac:dyDescent="0.25">
      <c r="A3" t="s">
        <v>166</v>
      </c>
      <c r="B3" t="s">
        <v>165</v>
      </c>
      <c r="C3" t="s">
        <v>163</v>
      </c>
      <c r="D3" t="s">
        <v>164</v>
      </c>
      <c r="E3" t="s">
        <v>140</v>
      </c>
      <c r="F3" s="18">
        <v>41654</v>
      </c>
      <c r="G3" t="s">
        <v>141</v>
      </c>
      <c r="H3" t="s">
        <v>142</v>
      </c>
      <c r="I3" t="s">
        <v>82</v>
      </c>
      <c r="J3" t="s">
        <v>82</v>
      </c>
      <c r="K3" t="s">
        <v>82</v>
      </c>
      <c r="L3" t="s">
        <v>155</v>
      </c>
      <c r="M3" t="s">
        <v>161</v>
      </c>
      <c r="O3">
        <v>122</v>
      </c>
      <c r="P3" t="s">
        <v>84</v>
      </c>
      <c r="Q3" t="s">
        <v>159</v>
      </c>
      <c r="R3" t="s">
        <v>83</v>
      </c>
      <c r="S3" t="s">
        <v>160</v>
      </c>
      <c r="T3" t="s">
        <v>158</v>
      </c>
      <c r="U3" t="s">
        <v>162</v>
      </c>
      <c r="V3" t="s">
        <v>164</v>
      </c>
      <c r="W3" t="s">
        <v>143</v>
      </c>
      <c r="X3" t="s">
        <v>161</v>
      </c>
      <c r="Z3">
        <v>122</v>
      </c>
      <c r="AA3" t="s">
        <v>84</v>
      </c>
      <c r="AB3" t="s">
        <v>159</v>
      </c>
      <c r="AC3" t="s">
        <v>83</v>
      </c>
      <c r="AD3" t="s">
        <v>160</v>
      </c>
      <c r="AE3" t="s">
        <v>158</v>
      </c>
      <c r="AF3" s="19" t="s">
        <v>157</v>
      </c>
      <c r="AG3" s="19" t="s">
        <v>157</v>
      </c>
      <c r="AH3" s="19" t="s">
        <v>157</v>
      </c>
      <c r="AI3" s="26" t="s">
        <v>156</v>
      </c>
      <c r="AM3" s="18">
        <v>45719</v>
      </c>
      <c r="AN3" t="s">
        <v>144</v>
      </c>
      <c r="AP3" t="str">
        <f>IF(SourceData[[#This Row],[Relationship]]="Mother","Mrs","Mr")</f>
        <v>Mrs</v>
      </c>
      <c r="AQ3" t="str">
        <f>IF(SourceData[[#This Row],[Relationship]]="Mother","F","M")</f>
        <v>F</v>
      </c>
      <c r="AR3" t="str">
        <f>IF(SourceData[[#This Row],[Relationship]]="Mother","PAM",IF(SourceData[[#This Row],[Relationship]]="Father","PAF","FAM"))</f>
        <v>PAM</v>
      </c>
      <c r="AS3" t="str">
        <f>IF(SourceData[[#This Row],[Applicant Address Street No]]&amp;SourceData[[#This Row],[Applicant Address Street]]=SourceData[[#This Row],[Child Address Street No]]&amp;SourceData[[#This Row],[Child Address Street]],"true","false")</f>
        <v>true</v>
      </c>
      <c r="AT3" t="str">
        <f>TEXT(SourceData[[#This Row],[DOB]],"yyyy")&amp;"-"&amp;TEXT(SourceData[[#This Row],[DOB]],"mm")&amp;"-"&amp;TEXT(SourceData[[#This Row],[DOB]],"dd")</f>
        <v>2014-01-15</v>
      </c>
      <c r="AU3" t="str">
        <f>CLEAN(TRIM(IFERROR(LEFT(SourceData[[#This Row],[Forename]],FIND(" ",SourceData[[#This Row],[Forename]],1)),SourceData[[#This Row],[Forename]])))</f>
        <v>Chilford</v>
      </c>
    </row>
  </sheetData>
  <hyperlinks>
    <hyperlink ref="AI3" r:id="rId1" xr:uid="{5794105D-7480-4686-BA0A-5CF82D963AA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ED94D-27BE-4AF1-AB16-5AEA66DBE90B}">
  <sheetPr codeName="Sheet2"/>
  <dimension ref="A1:B81"/>
  <sheetViews>
    <sheetView workbookViewId="0">
      <selection sqref="A1:XFD1"/>
    </sheetView>
  </sheetViews>
  <sheetFormatPr defaultRowHeight="15" x14ac:dyDescent="0.25"/>
  <cols>
    <col min="1" max="1" width="21" bestFit="1" customWidth="1"/>
  </cols>
  <sheetData>
    <row r="1" spans="1:2" x14ac:dyDescent="0.25">
      <c r="A1" s="12" t="s">
        <v>15</v>
      </c>
      <c r="B1">
        <v>1</v>
      </c>
    </row>
    <row r="2" spans="1:2" x14ac:dyDescent="0.25">
      <c r="A2" s="13" t="s">
        <v>16</v>
      </c>
      <c r="B2">
        <f>B1+1</f>
        <v>2</v>
      </c>
    </row>
    <row r="3" spans="1:2" x14ac:dyDescent="0.25">
      <c r="A3" s="13" t="s">
        <v>17</v>
      </c>
      <c r="B3">
        <f t="shared" ref="B3:B66" si="0">B2+1</f>
        <v>3</v>
      </c>
    </row>
    <row r="4" spans="1:2" x14ac:dyDescent="0.25">
      <c r="A4" s="13" t="s">
        <v>18</v>
      </c>
      <c r="B4">
        <f t="shared" si="0"/>
        <v>4</v>
      </c>
    </row>
    <row r="5" spans="1:2" x14ac:dyDescent="0.25">
      <c r="A5" s="13" t="s">
        <v>19</v>
      </c>
      <c r="B5">
        <f t="shared" si="0"/>
        <v>5</v>
      </c>
    </row>
    <row r="6" spans="1:2" x14ac:dyDescent="0.25">
      <c r="A6" s="13" t="s">
        <v>20</v>
      </c>
      <c r="B6">
        <f t="shared" si="0"/>
        <v>6</v>
      </c>
    </row>
    <row r="7" spans="1:2" x14ac:dyDescent="0.25">
      <c r="A7" s="13" t="s">
        <v>21</v>
      </c>
      <c r="B7">
        <f t="shared" si="0"/>
        <v>7</v>
      </c>
    </row>
    <row r="8" spans="1:2" x14ac:dyDescent="0.25">
      <c r="A8" s="13" t="s">
        <v>22</v>
      </c>
      <c r="B8">
        <f t="shared" si="0"/>
        <v>8</v>
      </c>
    </row>
    <row r="9" spans="1:2" x14ac:dyDescent="0.25">
      <c r="A9" s="13" t="s">
        <v>23</v>
      </c>
      <c r="B9">
        <f t="shared" si="0"/>
        <v>9</v>
      </c>
    </row>
    <row r="10" spans="1:2" x14ac:dyDescent="0.25">
      <c r="A10" s="13" t="s">
        <v>24</v>
      </c>
      <c r="B10">
        <f t="shared" si="0"/>
        <v>10</v>
      </c>
    </row>
    <row r="11" spans="1:2" x14ac:dyDescent="0.25">
      <c r="A11" s="13" t="s">
        <v>25</v>
      </c>
      <c r="B11">
        <f t="shared" si="0"/>
        <v>11</v>
      </c>
    </row>
    <row r="12" spans="1:2" x14ac:dyDescent="0.25">
      <c r="A12" s="13" t="s">
        <v>26</v>
      </c>
      <c r="B12">
        <f t="shared" si="0"/>
        <v>12</v>
      </c>
    </row>
    <row r="13" spans="1:2" x14ac:dyDescent="0.25">
      <c r="A13" s="13" t="s">
        <v>27</v>
      </c>
      <c r="B13">
        <f t="shared" si="0"/>
        <v>13</v>
      </c>
    </row>
    <row r="14" spans="1:2" x14ac:dyDescent="0.25">
      <c r="A14" s="13" t="s">
        <v>28</v>
      </c>
      <c r="B14">
        <f t="shared" si="0"/>
        <v>14</v>
      </c>
    </row>
    <row r="15" spans="1:2" x14ac:dyDescent="0.25">
      <c r="A15" s="13" t="s">
        <v>29</v>
      </c>
      <c r="B15">
        <f t="shared" si="0"/>
        <v>15</v>
      </c>
    </row>
    <row r="16" spans="1:2" x14ac:dyDescent="0.25">
      <c r="A16" s="13" t="s">
        <v>30</v>
      </c>
      <c r="B16">
        <f t="shared" si="0"/>
        <v>16</v>
      </c>
    </row>
    <row r="17" spans="1:2" x14ac:dyDescent="0.25">
      <c r="A17" s="13" t="s">
        <v>31</v>
      </c>
      <c r="B17">
        <f t="shared" si="0"/>
        <v>17</v>
      </c>
    </row>
    <row r="18" spans="1:2" x14ac:dyDescent="0.25">
      <c r="A18" s="13" t="s">
        <v>32</v>
      </c>
      <c r="B18">
        <f t="shared" si="0"/>
        <v>18</v>
      </c>
    </row>
    <row r="19" spans="1:2" x14ac:dyDescent="0.25">
      <c r="A19" s="13" t="s">
        <v>33</v>
      </c>
      <c r="B19">
        <f t="shared" si="0"/>
        <v>19</v>
      </c>
    </row>
    <row r="20" spans="1:2" x14ac:dyDescent="0.25">
      <c r="A20" s="13" t="s">
        <v>34</v>
      </c>
      <c r="B20">
        <f t="shared" si="0"/>
        <v>20</v>
      </c>
    </row>
    <row r="21" spans="1:2" x14ac:dyDescent="0.25">
      <c r="A21" s="13" t="s">
        <v>35</v>
      </c>
      <c r="B21">
        <f t="shared" si="0"/>
        <v>21</v>
      </c>
    </row>
    <row r="22" spans="1:2" x14ac:dyDescent="0.25">
      <c r="A22" s="13" t="s">
        <v>36</v>
      </c>
      <c r="B22">
        <f t="shared" si="0"/>
        <v>22</v>
      </c>
    </row>
    <row r="23" spans="1:2" x14ac:dyDescent="0.25">
      <c r="A23" s="13" t="s">
        <v>37</v>
      </c>
      <c r="B23">
        <f t="shared" si="0"/>
        <v>23</v>
      </c>
    </row>
    <row r="24" spans="1:2" x14ac:dyDescent="0.25">
      <c r="A24" s="13" t="s">
        <v>38</v>
      </c>
      <c r="B24">
        <f t="shared" si="0"/>
        <v>24</v>
      </c>
    </row>
    <row r="25" spans="1:2" x14ac:dyDescent="0.25">
      <c r="A25" s="13" t="s">
        <v>39</v>
      </c>
      <c r="B25">
        <f t="shared" si="0"/>
        <v>25</v>
      </c>
    </row>
    <row r="26" spans="1:2" x14ac:dyDescent="0.25">
      <c r="A26" s="13" t="s">
        <v>40</v>
      </c>
      <c r="B26">
        <f t="shared" si="0"/>
        <v>26</v>
      </c>
    </row>
    <row r="27" spans="1:2" x14ac:dyDescent="0.25">
      <c r="A27" s="13" t="s">
        <v>41</v>
      </c>
      <c r="B27">
        <f t="shared" si="0"/>
        <v>27</v>
      </c>
    </row>
    <row r="28" spans="1:2" x14ac:dyDescent="0.25">
      <c r="A28" s="13" t="s">
        <v>42</v>
      </c>
      <c r="B28">
        <f t="shared" si="0"/>
        <v>28</v>
      </c>
    </row>
    <row r="29" spans="1:2" x14ac:dyDescent="0.25">
      <c r="A29" s="13" t="s">
        <v>43</v>
      </c>
      <c r="B29">
        <f t="shared" si="0"/>
        <v>29</v>
      </c>
    </row>
    <row r="30" spans="1:2" x14ac:dyDescent="0.25">
      <c r="A30" s="13" t="s">
        <v>44</v>
      </c>
      <c r="B30">
        <f t="shared" si="0"/>
        <v>30</v>
      </c>
    </row>
    <row r="31" spans="1:2" x14ac:dyDescent="0.25">
      <c r="A31" s="13" t="s">
        <v>45</v>
      </c>
      <c r="B31">
        <f t="shared" si="0"/>
        <v>31</v>
      </c>
    </row>
    <row r="32" spans="1:2" x14ac:dyDescent="0.25">
      <c r="A32" s="13" t="s">
        <v>46</v>
      </c>
      <c r="B32">
        <f t="shared" si="0"/>
        <v>32</v>
      </c>
    </row>
    <row r="33" spans="1:2" x14ac:dyDescent="0.25">
      <c r="A33" s="13" t="s">
        <v>47</v>
      </c>
      <c r="B33">
        <f t="shared" si="0"/>
        <v>33</v>
      </c>
    </row>
    <row r="34" spans="1:2" x14ac:dyDescent="0.25">
      <c r="A34" s="13" t="s">
        <v>48</v>
      </c>
      <c r="B34">
        <f t="shared" si="0"/>
        <v>34</v>
      </c>
    </row>
    <row r="35" spans="1:2" x14ac:dyDescent="0.25">
      <c r="A35" s="13" t="s">
        <v>49</v>
      </c>
      <c r="B35">
        <f t="shared" si="0"/>
        <v>35</v>
      </c>
    </row>
    <row r="36" spans="1:2" x14ac:dyDescent="0.25">
      <c r="A36" s="13" t="s">
        <v>50</v>
      </c>
      <c r="B36">
        <f t="shared" si="0"/>
        <v>36</v>
      </c>
    </row>
    <row r="37" spans="1:2" x14ac:dyDescent="0.25">
      <c r="A37" s="13" t="s">
        <v>51</v>
      </c>
      <c r="B37">
        <f t="shared" si="0"/>
        <v>37</v>
      </c>
    </row>
    <row r="38" spans="1:2" x14ac:dyDescent="0.25">
      <c r="A38" s="13" t="s">
        <v>52</v>
      </c>
      <c r="B38">
        <f t="shared" si="0"/>
        <v>38</v>
      </c>
    </row>
    <row r="39" spans="1:2" x14ac:dyDescent="0.25">
      <c r="A39" s="13" t="s">
        <v>53</v>
      </c>
      <c r="B39">
        <f t="shared" si="0"/>
        <v>39</v>
      </c>
    </row>
    <row r="40" spans="1:2" x14ac:dyDescent="0.25">
      <c r="A40" s="13" t="s">
        <v>54</v>
      </c>
      <c r="B40">
        <f t="shared" si="0"/>
        <v>40</v>
      </c>
    </row>
    <row r="41" spans="1:2" x14ac:dyDescent="0.25">
      <c r="A41" s="13" t="s">
        <v>55</v>
      </c>
      <c r="B41">
        <f t="shared" si="0"/>
        <v>41</v>
      </c>
    </row>
    <row r="42" spans="1:2" x14ac:dyDescent="0.25">
      <c r="A42" s="13" t="s">
        <v>56</v>
      </c>
      <c r="B42">
        <f t="shared" si="0"/>
        <v>42</v>
      </c>
    </row>
    <row r="43" spans="1:2" x14ac:dyDescent="0.25">
      <c r="A43" s="13" t="s">
        <v>57</v>
      </c>
      <c r="B43">
        <f t="shared" si="0"/>
        <v>43</v>
      </c>
    </row>
    <row r="44" spans="1:2" x14ac:dyDescent="0.25">
      <c r="A44" s="13" t="s">
        <v>58</v>
      </c>
      <c r="B44">
        <f t="shared" si="0"/>
        <v>44</v>
      </c>
    </row>
    <row r="45" spans="1:2" x14ac:dyDescent="0.25">
      <c r="A45" s="13" t="s">
        <v>59</v>
      </c>
      <c r="B45">
        <f t="shared" si="0"/>
        <v>45</v>
      </c>
    </row>
    <row r="46" spans="1:2" x14ac:dyDescent="0.25">
      <c r="A46" s="13" t="s">
        <v>60</v>
      </c>
      <c r="B46">
        <f t="shared" si="0"/>
        <v>46</v>
      </c>
    </row>
    <row r="47" spans="1:2" x14ac:dyDescent="0.25">
      <c r="A47" s="13" t="s">
        <v>61</v>
      </c>
      <c r="B47">
        <f t="shared" si="0"/>
        <v>47</v>
      </c>
    </row>
    <row r="48" spans="1:2" x14ac:dyDescent="0.25">
      <c r="A48" s="13" t="s">
        <v>62</v>
      </c>
      <c r="B48">
        <f t="shared" si="0"/>
        <v>48</v>
      </c>
    </row>
    <row r="49" spans="1:2" x14ac:dyDescent="0.25">
      <c r="A49" s="13" t="s">
        <v>63</v>
      </c>
      <c r="B49">
        <f t="shared" si="0"/>
        <v>49</v>
      </c>
    </row>
    <row r="50" spans="1:2" x14ac:dyDescent="0.25">
      <c r="A50" s="13" t="s">
        <v>64</v>
      </c>
      <c r="B50">
        <f t="shared" si="0"/>
        <v>50</v>
      </c>
    </row>
    <row r="51" spans="1:2" x14ac:dyDescent="0.25">
      <c r="A51" s="13" t="s">
        <v>65</v>
      </c>
      <c r="B51">
        <f t="shared" si="0"/>
        <v>51</v>
      </c>
    </row>
    <row r="52" spans="1:2" x14ac:dyDescent="0.25">
      <c r="A52" s="13" t="s">
        <v>66</v>
      </c>
      <c r="B52">
        <f t="shared" si="0"/>
        <v>52</v>
      </c>
    </row>
    <row r="53" spans="1:2" x14ac:dyDescent="0.25">
      <c r="A53" s="13" t="s">
        <v>67</v>
      </c>
      <c r="B53">
        <f t="shared" si="0"/>
        <v>53</v>
      </c>
    </row>
    <row r="54" spans="1:2" x14ac:dyDescent="0.25">
      <c r="A54" s="13" t="s">
        <v>68</v>
      </c>
      <c r="B54">
        <f t="shared" si="0"/>
        <v>54</v>
      </c>
    </row>
    <row r="55" spans="1:2" x14ac:dyDescent="0.25">
      <c r="A55" s="13" t="s">
        <v>69</v>
      </c>
      <c r="B55">
        <f t="shared" si="0"/>
        <v>55</v>
      </c>
    </row>
    <row r="56" spans="1:2" x14ac:dyDescent="0.25">
      <c r="A56" s="13" t="s">
        <v>70</v>
      </c>
      <c r="B56">
        <f t="shared" si="0"/>
        <v>56</v>
      </c>
    </row>
    <row r="57" spans="1:2" x14ac:dyDescent="0.25">
      <c r="A57" s="13" t="s">
        <v>71</v>
      </c>
      <c r="B57">
        <f t="shared" si="0"/>
        <v>57</v>
      </c>
    </row>
    <row r="58" spans="1:2" x14ac:dyDescent="0.25">
      <c r="A58" s="13" t="s">
        <v>72</v>
      </c>
      <c r="B58">
        <f t="shared" si="0"/>
        <v>58</v>
      </c>
    </row>
    <row r="59" spans="1:2" x14ac:dyDescent="0.25">
      <c r="A59" s="13" t="s">
        <v>73</v>
      </c>
      <c r="B59">
        <f t="shared" si="0"/>
        <v>59</v>
      </c>
    </row>
    <row r="60" spans="1:2" x14ac:dyDescent="0.25">
      <c r="A60" s="13" t="s">
        <v>74</v>
      </c>
      <c r="B60">
        <f t="shared" si="0"/>
        <v>60</v>
      </c>
    </row>
    <row r="61" spans="1:2" x14ac:dyDescent="0.25">
      <c r="A61" s="13" t="s">
        <v>75</v>
      </c>
      <c r="B61">
        <f t="shared" si="0"/>
        <v>61</v>
      </c>
    </row>
    <row r="62" spans="1:2" x14ac:dyDescent="0.25">
      <c r="A62" s="13" t="s">
        <v>76</v>
      </c>
      <c r="B62">
        <f t="shared" si="0"/>
        <v>62</v>
      </c>
    </row>
    <row r="63" spans="1:2" x14ac:dyDescent="0.25">
      <c r="A63" s="13" t="s">
        <v>77</v>
      </c>
      <c r="B63">
        <f t="shared" si="0"/>
        <v>63</v>
      </c>
    </row>
    <row r="64" spans="1:2" x14ac:dyDescent="0.25">
      <c r="A64" s="13" t="s">
        <v>78</v>
      </c>
      <c r="B64">
        <f t="shared" si="0"/>
        <v>64</v>
      </c>
    </row>
    <row r="65" spans="1:2" x14ac:dyDescent="0.25">
      <c r="A65" s="13" t="s">
        <v>79</v>
      </c>
      <c r="B65">
        <f t="shared" si="0"/>
        <v>65</v>
      </c>
    </row>
    <row r="66" spans="1:2" x14ac:dyDescent="0.25">
      <c r="A66" s="13" t="s">
        <v>80</v>
      </c>
      <c r="B66">
        <f t="shared" si="0"/>
        <v>66</v>
      </c>
    </row>
    <row r="67" spans="1:2" x14ac:dyDescent="0.25">
      <c r="A67" s="13" t="s">
        <v>81</v>
      </c>
      <c r="B67">
        <f t="shared" ref="B67:B81" si="1">B66+1</f>
        <v>67</v>
      </c>
    </row>
    <row r="68" spans="1:2" x14ac:dyDescent="0.25">
      <c r="A68" s="13" t="s">
        <v>85</v>
      </c>
      <c r="B68">
        <f t="shared" si="1"/>
        <v>68</v>
      </c>
    </row>
    <row r="69" spans="1:2" x14ac:dyDescent="0.25">
      <c r="A69" s="13" t="s">
        <v>86</v>
      </c>
      <c r="B69">
        <f t="shared" si="1"/>
        <v>69</v>
      </c>
    </row>
    <row r="70" spans="1:2" x14ac:dyDescent="0.25">
      <c r="A70" s="13" t="s">
        <v>87</v>
      </c>
      <c r="B70">
        <f t="shared" si="1"/>
        <v>70</v>
      </c>
    </row>
    <row r="71" spans="1:2" x14ac:dyDescent="0.25">
      <c r="A71" s="13" t="s">
        <v>88</v>
      </c>
      <c r="B71">
        <f t="shared" si="1"/>
        <v>71</v>
      </c>
    </row>
    <row r="72" spans="1:2" x14ac:dyDescent="0.25">
      <c r="A72" s="13" t="s">
        <v>89</v>
      </c>
      <c r="B72">
        <f t="shared" si="1"/>
        <v>72</v>
      </c>
    </row>
    <row r="73" spans="1:2" x14ac:dyDescent="0.25">
      <c r="A73" s="13" t="s">
        <v>90</v>
      </c>
      <c r="B73">
        <f t="shared" si="1"/>
        <v>73</v>
      </c>
    </row>
    <row r="74" spans="1:2" x14ac:dyDescent="0.25">
      <c r="A74" s="13" t="s">
        <v>91</v>
      </c>
      <c r="B74">
        <f t="shared" si="1"/>
        <v>74</v>
      </c>
    </row>
    <row r="75" spans="1:2" x14ac:dyDescent="0.25">
      <c r="A75" s="13" t="s">
        <v>92</v>
      </c>
      <c r="B75">
        <f t="shared" si="1"/>
        <v>75</v>
      </c>
    </row>
    <row r="76" spans="1:2" x14ac:dyDescent="0.25">
      <c r="A76" s="13" t="s">
        <v>93</v>
      </c>
      <c r="B76">
        <f t="shared" si="1"/>
        <v>76</v>
      </c>
    </row>
    <row r="77" spans="1:2" x14ac:dyDescent="0.25">
      <c r="A77" s="13" t="s">
        <v>94</v>
      </c>
      <c r="B77">
        <f t="shared" si="1"/>
        <v>77</v>
      </c>
    </row>
    <row r="78" spans="1:2" x14ac:dyDescent="0.25">
      <c r="A78" s="13" t="s">
        <v>95</v>
      </c>
      <c r="B78">
        <f t="shared" si="1"/>
        <v>78</v>
      </c>
    </row>
    <row r="79" spans="1:2" x14ac:dyDescent="0.25">
      <c r="A79" s="13" t="s">
        <v>96</v>
      </c>
      <c r="B79">
        <f t="shared" si="1"/>
        <v>79</v>
      </c>
    </row>
    <row r="80" spans="1:2" x14ac:dyDescent="0.25">
      <c r="A80" s="13" t="s">
        <v>97</v>
      </c>
      <c r="B80">
        <f t="shared" si="1"/>
        <v>80</v>
      </c>
    </row>
    <row r="81" spans="1:2" x14ac:dyDescent="0.25">
      <c r="A81" s="14" t="s">
        <v>98</v>
      </c>
      <c r="B81">
        <f t="shared" si="1"/>
        <v>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7EB7897ADF74EAB235702585B5D2E" ma:contentTypeVersion="17" ma:contentTypeDescription="Create a new document." ma:contentTypeScope="" ma:versionID="781f06a72298e5cc1396cfb8515147f0">
  <xsd:schema xmlns:xsd="http://www.w3.org/2001/XMLSchema" xmlns:xs="http://www.w3.org/2001/XMLSchema" xmlns:p="http://schemas.microsoft.com/office/2006/metadata/properties" xmlns:ns2="ebe4882a-b318-4454-8ee4-5e5d4bf8befe" xmlns:ns3="6f990a3b-058a-4859-adec-bebfe8f1eae1" targetNamespace="http://schemas.microsoft.com/office/2006/metadata/properties" ma:root="true" ma:fieldsID="ee9a078d20fdc057f86e1b9a6db460f8" ns2:_="" ns3:_="">
    <xsd:import namespace="ebe4882a-b318-4454-8ee4-5e5d4bf8befe"/>
    <xsd:import namespace="6f990a3b-058a-4859-adec-bebfe8f1ea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ObjectDetectorVersions" minOccurs="0"/>
                <xsd:element ref="ns2:MediaServiceSearchPropertie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e4882a-b318-4454-8ee4-5e5d4bf8be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e8066391-b91f-4a39-b2c7-bcd058814d7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990a3b-058a-4859-adec-bebfe8f1eae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9e60df92-74b8-4f3d-989c-547ca63e3e0a}" ma:internalName="TaxCatchAll" ma:showField="CatchAllData" ma:web="6f990a3b-058a-4859-adec-bebfe8f1eae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be4882a-b318-4454-8ee4-5e5d4bf8befe">
      <Terms xmlns="http://schemas.microsoft.com/office/infopath/2007/PartnerControls"/>
    </lcf76f155ced4ddcb4097134ff3c332f>
    <TaxCatchAll xmlns="6f990a3b-058a-4859-adec-bebfe8f1eae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0E85773E-007C-4BEE-B92E-5E9176D0A5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e4882a-b318-4454-8ee4-5e5d4bf8befe"/>
    <ds:schemaRef ds:uri="6f990a3b-058a-4859-adec-bebfe8f1ea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F682A2-02D1-4F87-8989-747F47C2B7A3}">
  <ds:schemaRefs>
    <ds:schemaRef ds:uri="http://schemas.microsoft.com/office/2006/metadata/properties"/>
    <ds:schemaRef ds:uri="http://schemas.microsoft.com/office/infopath/2007/PartnerControls"/>
    <ds:schemaRef ds:uri="ebe4882a-b318-4454-8ee4-5e5d4bf8befe"/>
    <ds:schemaRef ds:uri="6f990a3b-058a-4859-adec-bebfe8f1eae1"/>
  </ds:schemaRefs>
</ds:datastoreItem>
</file>

<file path=customXml/itemProps3.xml><?xml version="1.0" encoding="utf-8"?>
<ds:datastoreItem xmlns:ds="http://schemas.openxmlformats.org/officeDocument/2006/customXml" ds:itemID="{D9C216A2-83B5-49FA-BF1F-77E20C9E308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E95E247-4FBE-4F5D-AEC3-27E1E10DA9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Data</vt:lpstr>
      <vt:lpstr>Field List</vt:lpstr>
    </vt:vector>
  </TitlesOfParts>
  <Manager/>
  <Company>Accord MAT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to CTF</dc:title>
  <dc:subject/>
  <dc:creator>Marc Coyles</dc:creator>
  <cp:keywords>Table to CTF</cp:keywords>
  <dc:description/>
  <cp:lastModifiedBy>Marc Coyles</cp:lastModifiedBy>
  <cp:revision/>
  <dcterms:created xsi:type="dcterms:W3CDTF">2023-04-25T08:08:39Z</dcterms:created>
  <dcterms:modified xsi:type="dcterms:W3CDTF">2025-03-21T09:18:33Z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e7559e1-065f-48bd-9ddf-4bc014495b9d_Enabled">
    <vt:lpwstr>true</vt:lpwstr>
  </property>
  <property fmtid="{D5CDD505-2E9C-101B-9397-08002B2CF9AE}" pid="3" name="MSIP_Label_ce7559e1-065f-48bd-9ddf-4bc014495b9d_SetDate">
    <vt:lpwstr>2023-04-25T09:49:10Z</vt:lpwstr>
  </property>
  <property fmtid="{D5CDD505-2E9C-101B-9397-08002B2CF9AE}" pid="4" name="MSIP_Label_ce7559e1-065f-48bd-9ddf-4bc014495b9d_Method">
    <vt:lpwstr>Standard</vt:lpwstr>
  </property>
  <property fmtid="{D5CDD505-2E9C-101B-9397-08002B2CF9AE}" pid="5" name="MSIP_Label_ce7559e1-065f-48bd-9ddf-4bc014495b9d_Name">
    <vt:lpwstr>defa4170-0d19-0005-0004-bc88714345d2</vt:lpwstr>
  </property>
  <property fmtid="{D5CDD505-2E9C-101B-9397-08002B2CF9AE}" pid="6" name="MSIP_Label_ce7559e1-065f-48bd-9ddf-4bc014495b9d_SiteId">
    <vt:lpwstr>854b4310-0dbf-4241-ae41-4df0a4f8db92</vt:lpwstr>
  </property>
  <property fmtid="{D5CDD505-2E9C-101B-9397-08002B2CF9AE}" pid="7" name="MSIP_Label_ce7559e1-065f-48bd-9ddf-4bc014495b9d_ActionId">
    <vt:lpwstr>6779f17e-5197-4450-a51f-eb45f17abbe2</vt:lpwstr>
  </property>
  <property fmtid="{D5CDD505-2E9C-101B-9397-08002B2CF9AE}" pid="8" name="MSIP_Label_ce7559e1-065f-48bd-9ddf-4bc014495b9d_ContentBits">
    <vt:lpwstr>0</vt:lpwstr>
  </property>
  <property fmtid="{D5CDD505-2E9C-101B-9397-08002B2CF9AE}" pid="9" name="ContentTypeId">
    <vt:lpwstr>0x0101004337EB7897ADF74EAB235702585B5D2E</vt:lpwstr>
  </property>
  <property fmtid="{D5CDD505-2E9C-101B-9397-08002B2CF9AE}" pid="10" name="MediaServiceImageTags">
    <vt:lpwstr/>
  </property>
</Properties>
</file>