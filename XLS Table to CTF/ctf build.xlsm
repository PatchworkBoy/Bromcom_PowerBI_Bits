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Coyles\Documents\"/>
    </mc:Choice>
  </mc:AlternateContent>
  <xr:revisionPtr revIDLastSave="0" documentId="8_{59913D17-D44C-45EB-8EC1-5917DDB6E562}" xr6:coauthVersionLast="47" xr6:coauthVersionMax="47" xr10:uidLastSave="{00000000-0000-0000-0000-000000000000}"/>
  <bookViews>
    <workbookView xWindow="28680" yWindow="-120" windowWidth="29040" windowHeight="15720" xr2:uid="{25A3BE7B-CB6D-4DD7-88C7-53316940C534}"/>
  </bookViews>
  <sheets>
    <sheet name="Setup" sheetId="1" r:id="rId1"/>
    <sheet name="Data" sheetId="2" r:id="rId2"/>
    <sheet name="Field List" sheetId="3" state="hidden" r:id="rId3"/>
  </sheets>
  <definedNames>
    <definedName name="ExternalData_1" localSheetId="1" hidden="1">Data!$A$1:$BO$2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3" i="3" s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C9" i="1"/>
  <c r="C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AFCB47-5C62-4004-9565-360446BF4E27}" keepAlive="1" name="Query - FSM_History" description="Connection to the 'FSM_History' query in the workbook." type="5" refreshedVersion="0" background="1">
    <dbPr connection="Provider=Microsoft.Mashup.OleDb.1;Data Source=$Workbook$;Location=FSM_History;Extended Properties=&quot;&quot;" command="SELECT * FROM [FSM_History]"/>
  </connection>
  <connection id="2" xr16:uid="{497DA3CB-1D00-4714-98DD-E1826795F60C}" keepAlive="1" name="Query - LA List" description="Connection to the 'LA List' query in the workbook." type="5" refreshedVersion="7" background="1" saveData="1">
    <dbPr connection="Provider=Microsoft.Mashup.OleDb.1;Data Source=$Workbook$;Location=&quot;LA List&quot;;Extended Properties=&quot;&quot;" command="SELECT * FROM [LA List]"/>
  </connection>
  <connection id="3" xr16:uid="{F7271B12-C50D-4619-B0D9-914D6031DACC}" keepAlive="1" name="Query - Parent Data" description="Connection to the 'Parent Data' query in the workbook." type="5" refreshedVersion="0" background="1">
    <dbPr connection="Provider=Microsoft.Mashup.OleDb.1;Data Source=$Workbook$;Location=&quot;Parent Data&quot;;Extended Properties=&quot;&quot;" command="SELECT * FROM [Parent Data]"/>
  </connection>
</connections>
</file>

<file path=xl/sharedStrings.xml><?xml version="1.0" encoding="utf-8"?>
<sst xmlns="http://schemas.openxmlformats.org/spreadsheetml/2006/main" count="206" uniqueCount="131">
  <si>
    <t>School Name</t>
  </si>
  <si>
    <t>DFE Num</t>
  </si>
  <si>
    <t>URN</t>
  </si>
  <si>
    <t>Parameter</t>
  </si>
  <si>
    <t>Value</t>
  </si>
  <si>
    <t>Example</t>
  </si>
  <si>
    <t>Ossett Academy</t>
  </si>
  <si>
    <t>LEA</t>
  </si>
  <si>
    <t>Output Folder</t>
  </si>
  <si>
    <t>Output Filename</t>
  </si>
  <si>
    <t>C:\Users\MarcCoyles\CTF Output</t>
  </si>
  <si>
    <t>3844023.ctf</t>
  </si>
  <si>
    <t>Child_ID</t>
  </si>
  <si>
    <t>DfES UPN</t>
  </si>
  <si>
    <t>Current School DfES</t>
  </si>
  <si>
    <t>Current School Name</t>
  </si>
  <si>
    <t>EHC</t>
  </si>
  <si>
    <t>In Care</t>
  </si>
  <si>
    <t>FullName</t>
  </si>
  <si>
    <t>Legal Forename</t>
  </si>
  <si>
    <t>Middle Name(s)</t>
  </si>
  <si>
    <t>Legal Surname</t>
  </si>
  <si>
    <t>Preferred Forename</t>
  </si>
  <si>
    <t>Preferred Surname</t>
  </si>
  <si>
    <t>Line 1</t>
  </si>
  <si>
    <t>Line 2</t>
  </si>
  <si>
    <t>Line 3</t>
  </si>
  <si>
    <t>C1 Forename</t>
  </si>
  <si>
    <t>C1 Surname</t>
  </si>
  <si>
    <t>C1 Title</t>
  </si>
  <si>
    <t>C1 Mobile</t>
  </si>
  <si>
    <t>C1 Landline</t>
  </si>
  <si>
    <t>C1 Work</t>
  </si>
  <si>
    <t>C1 Email</t>
  </si>
  <si>
    <t>C1 Address as Pupil</t>
  </si>
  <si>
    <t>C1 Line1</t>
  </si>
  <si>
    <t>C1 Line 2</t>
  </si>
  <si>
    <t>C1 Line 3</t>
  </si>
  <si>
    <t>C1 Postcode</t>
  </si>
  <si>
    <t>C1 Relationship</t>
  </si>
  <si>
    <t>C1 PR</t>
  </si>
  <si>
    <t>C2 Processing Consent</t>
  </si>
  <si>
    <t>C2 Forename</t>
  </si>
  <si>
    <t>C2 Surname</t>
  </si>
  <si>
    <t>C2 Title</t>
  </si>
  <si>
    <t>C2 Mobile</t>
  </si>
  <si>
    <t>C2 Landline</t>
  </si>
  <si>
    <t>C2 Work</t>
  </si>
  <si>
    <t>C2 Email</t>
  </si>
  <si>
    <t>C2 Address as Pupil</t>
  </si>
  <si>
    <t>C2 Line 1</t>
  </si>
  <si>
    <t>C2 Line 2</t>
  </si>
  <si>
    <t>C2 Line 3</t>
  </si>
  <si>
    <t>C2 Postcode</t>
  </si>
  <si>
    <t>C2 Relationship</t>
  </si>
  <si>
    <t>C2 PR</t>
  </si>
  <si>
    <t>C3 Processing Consent</t>
  </si>
  <si>
    <t>C3 Forename</t>
  </si>
  <si>
    <t>C3 Surname</t>
  </si>
  <si>
    <t>C3 Title</t>
  </si>
  <si>
    <t>C3 Mobile</t>
  </si>
  <si>
    <t>C3 Landline</t>
  </si>
  <si>
    <t>C3 Work</t>
  </si>
  <si>
    <t>C3 Email</t>
  </si>
  <si>
    <t>C3 Address as pupil</t>
  </si>
  <si>
    <t>C3 Line 1</t>
  </si>
  <si>
    <t>C3 Line 2</t>
  </si>
  <si>
    <t>C3 Line 3</t>
  </si>
  <si>
    <t>C3 Postcode</t>
  </si>
  <si>
    <t>C3 Relationship</t>
  </si>
  <si>
    <t>C3 PR</t>
  </si>
  <si>
    <t>Ethnicity</t>
  </si>
  <si>
    <t>First Language</t>
  </si>
  <si>
    <t>Medical Con</t>
  </si>
  <si>
    <t>Medical Con Type</t>
  </si>
  <si>
    <t>FSM</t>
  </si>
  <si>
    <t>FSM Applied</t>
  </si>
  <si>
    <t>LAC</t>
  </si>
  <si>
    <t>LAC Authority</t>
  </si>
  <si>
    <t>PEP</t>
  </si>
  <si>
    <t>CP</t>
  </si>
  <si>
    <t>CP Authority</t>
  </si>
  <si>
    <t>SGO</t>
  </si>
  <si>
    <t>SEN</t>
  </si>
  <si>
    <t>C1 Gender</t>
  </si>
  <si>
    <t>C2 Gender</t>
  </si>
  <si>
    <t>C3 Gender</t>
  </si>
  <si>
    <t>FSMstartDate</t>
  </si>
  <si>
    <t>UKcountry</t>
  </si>
  <si>
    <t>FSMreviewDate</t>
  </si>
  <si>
    <t>Ossett Holy Trinity CE (VA) Primary School</t>
  </si>
  <si>
    <t>M</t>
  </si>
  <si>
    <t>Mrs</t>
  </si>
  <si>
    <t>Yes</t>
  </si>
  <si>
    <t>PAM</t>
  </si>
  <si>
    <t>Mr</t>
  </si>
  <si>
    <t>PAF</t>
  </si>
  <si>
    <t>No</t>
  </si>
  <si>
    <t>WBRI</t>
  </si>
  <si>
    <t>F</t>
  </si>
  <si>
    <t>2011-03-13</t>
  </si>
  <si>
    <t>Z9999999999999</t>
  </si>
  <si>
    <t>Gender</t>
  </si>
  <si>
    <t>Postcode</t>
  </si>
  <si>
    <t>DOB</t>
  </si>
  <si>
    <t>OssettAcademy</t>
  </si>
  <si>
    <t>Now</t>
  </si>
  <si>
    <t>C:\Users\username\CTF Output</t>
  </si>
  <si>
    <t>1. Enter data for your school below...</t>
  </si>
  <si>
    <t>2. Populate the table on the Data tab. Do not change the column order or naming.</t>
  </si>
  <si>
    <t>Newton Bar</t>
  </si>
  <si>
    <t>Wakefield</t>
  </si>
  <si>
    <t>WF1 3JQ</t>
  </si>
  <si>
    <t>42 Buxton Place</t>
  </si>
  <si>
    <t>Coyles, Marc</t>
  </si>
  <si>
    <t>Marc</t>
  </si>
  <si>
    <t>Andrew</t>
  </si>
  <si>
    <t>Coyles</t>
  </si>
  <si>
    <t>Fred</t>
  </si>
  <si>
    <t>Alvers</t>
  </si>
  <si>
    <t>07271260210</t>
  </si>
  <si>
    <t>01924665665</t>
  </si>
  <si>
    <t>mcoyles@accordmat.org</t>
  </si>
  <si>
    <t>Sarah</t>
  </si>
  <si>
    <t>07908215465</t>
  </si>
  <si>
    <t>mcoyles@ossett.accordmat.org</t>
  </si>
  <si>
    <t>14 Somewhere Road</t>
  </si>
  <si>
    <t>Nowhere Town</t>
  </si>
  <si>
    <t>NT2 3PP</t>
  </si>
  <si>
    <t>ENG</t>
  </si>
  <si>
    <t>3. Click CREATE (wait for completion message) then POPULATE to write the output to the output file named above (will be created - ensure doesn't already exist or is empty)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</si>
</sst>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/>
        <bgColor theme="9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3" borderId="1" applyNumberFormat="0" applyAlignment="0" applyProtection="0"/>
    <xf numFmtId="0" fontId="5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vertical="center"/>
    </xf>
    <xf numFmtId="0" fontId="2" fillId="0" borderId="0" xfId="2" applyBorder="1" applyAlignment="1">
      <alignment horizontal="right" vertical="center"/>
    </xf>
    <xf numFmtId="0" fontId="1" fillId="2" borderId="3" xfId="1" applyBorder="1" applyAlignment="1">
      <alignment vertical="center"/>
    </xf>
    <xf numFmtId="0" fontId="1" fillId="2" borderId="1" xfId="1" applyAlignment="1">
      <alignment vertical="center"/>
    </xf>
    <xf numFmtId="0" fontId="1" fillId="2" borderId="2" xfId="1" applyBorder="1" applyAlignment="1">
      <alignment vertical="center"/>
    </xf>
    <xf numFmtId="0" fontId="0" fillId="0" borderId="7" xfId="0" applyBorder="1" applyAlignment="1">
      <alignment vertical="center"/>
    </xf>
    <xf numFmtId="0" fontId="2" fillId="0" borderId="8" xfId="2" applyBorder="1" applyAlignment="1">
      <alignment horizontal="right" vertical="center"/>
    </xf>
    <xf numFmtId="0" fontId="3" fillId="3" borderId="1" xfId="3" applyAlignment="1">
      <alignment vertical="center"/>
    </xf>
    <xf numFmtId="14" fontId="0" fillId="0" borderId="0" xfId="0" applyNumberFormat="1"/>
    <xf numFmtId="0" fontId="4" fillId="4" borderId="9" xfId="0" applyFont="1" applyFill="1" applyBorder="1"/>
    <xf numFmtId="0" fontId="4" fillId="4" borderId="10" xfId="0" applyFont="1" applyFill="1" applyBorder="1"/>
    <xf numFmtId="0" fontId="4" fillId="4" borderId="11" xfId="0" applyFont="1" applyFill="1" applyBorder="1"/>
    <xf numFmtId="14" fontId="3" fillId="3" borderId="1" xfId="3" applyNumberFormat="1" applyAlignment="1">
      <alignment vertical="center"/>
    </xf>
    <xf numFmtId="49" fontId="0" fillId="0" borderId="0" xfId="0" quotePrefix="1" applyNumberFormat="1"/>
    <xf numFmtId="49" fontId="0" fillId="0" borderId="0" xfId="0" applyNumberFormat="1"/>
    <xf numFmtId="0" fontId="5" fillId="0" borderId="0" xfId="4"/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5">
    <cellStyle name="Calculation" xfId="3" builtinId="22"/>
    <cellStyle name="Explanatory Text" xfId="2" builtinId="53"/>
    <cellStyle name="Hyperlink" xfId="4" builtinId="8"/>
    <cellStyle name="Input" xfId="1" builtinId="20"/>
    <cellStyle name="Normal" xfId="0" builtinId="0"/>
  </cellStyles>
  <dxfs count="7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right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  <border outline="0">
        <right style="thin">
          <color rgb="FF7F7F7F"/>
        </right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Invisible" pivot="0" table="0" count="0" xr9:uid="{92069FBE-8207-44D3-A688-5061C62C7E3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12</xdr:row>
      <xdr:rowOff>57151</xdr:rowOff>
    </xdr:from>
    <xdr:to>
      <xdr:col>3</xdr:col>
      <xdr:colOff>581025</xdr:colOff>
      <xdr:row>12</xdr:row>
      <xdr:rowOff>342901</xdr:rowOff>
    </xdr:to>
    <xdr:sp macro="[0]!create_text_file" textlink="">
      <xdr:nvSpPr>
        <xdr:cNvPr id="2" name="Rectangle 1">
          <a:extLst>
            <a:ext uri="{FF2B5EF4-FFF2-40B4-BE49-F238E27FC236}">
              <a16:creationId xmlns:a16="http://schemas.microsoft.com/office/drawing/2014/main" id="{8E853877-B85B-AE03-1183-235B41B6D331}"/>
            </a:ext>
          </a:extLst>
        </xdr:cNvPr>
        <xdr:cNvSpPr/>
      </xdr:nvSpPr>
      <xdr:spPr>
        <a:xfrm>
          <a:off x="2000250" y="3657601"/>
          <a:ext cx="24765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/>
            <a:t> CREATE EMPTY</a:t>
          </a:r>
          <a:r>
            <a:rPr lang="en-GB" sz="1100" b="1" baseline="0"/>
            <a:t> </a:t>
          </a:r>
          <a:r>
            <a:rPr lang="en-GB" sz="1100" b="1"/>
            <a:t>CTF</a:t>
          </a:r>
        </a:p>
      </xdr:txBody>
    </xdr:sp>
    <xdr:clientData/>
  </xdr:twoCellAnchor>
  <xdr:twoCellAnchor>
    <xdr:from>
      <xdr:col>2</xdr:col>
      <xdr:colOff>295274</xdr:colOff>
      <xdr:row>12</xdr:row>
      <xdr:rowOff>371475</xdr:rowOff>
    </xdr:from>
    <xdr:to>
      <xdr:col>3</xdr:col>
      <xdr:colOff>581025</xdr:colOff>
      <xdr:row>14</xdr:row>
      <xdr:rowOff>9525</xdr:rowOff>
    </xdr:to>
    <xdr:sp macro="[0]!data_to_text_file" textlink="">
      <xdr:nvSpPr>
        <xdr:cNvPr id="3" name="Rectangle 2">
          <a:extLst>
            <a:ext uri="{FF2B5EF4-FFF2-40B4-BE49-F238E27FC236}">
              <a16:creationId xmlns:a16="http://schemas.microsoft.com/office/drawing/2014/main" id="{599CAFBD-8D4E-02FF-5C9B-4F384A82CE0F}"/>
            </a:ext>
          </a:extLst>
        </xdr:cNvPr>
        <xdr:cNvSpPr/>
      </xdr:nvSpPr>
      <xdr:spPr>
        <a:xfrm>
          <a:off x="2000249" y="3971925"/>
          <a:ext cx="2476501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POPULATE CTF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E050668-9A9F-4D3E-BC41-C0CD70BBCA4A}" autoFormatId="16" applyNumberFormats="0" applyBorderFormats="0" applyFontFormats="0" applyPatternFormats="0" applyAlignmentFormats="0" applyWidthHeightFormats="0">
  <queryTableRefresh nextId="263">
    <queryTableFields count="67">
      <queryTableField id="1" name="Child_ID" tableColumnId="1"/>
      <queryTableField id="2" name="DfES UPN" tableColumnId="2"/>
      <queryTableField id="14" name="Current School DfES" tableColumnId="14"/>
      <queryTableField id="15" name="Current School Name" tableColumnId="15"/>
      <queryTableField id="26" name="FullName" tableColumnId="26"/>
      <queryTableField id="28" name="Legal Forename" tableColumnId="28"/>
      <queryTableField id="29" name="Middle Name(s)" tableColumnId="29"/>
      <queryTableField id="30" name="Legal Surname" tableColumnId="30"/>
      <queryTableField id="253" dataBound="0" tableColumnId="3"/>
      <queryTableField id="254" dataBound="0" tableColumnId="5"/>
      <queryTableField id="34" name="Gender.1" tableColumnId="34"/>
      <queryTableField id="33" name="DOB.1" tableColumnId="33"/>
      <queryTableField id="35" name="Line 1" tableColumnId="35"/>
      <queryTableField id="36" name="Line 2" tableColumnId="36"/>
      <queryTableField id="37" name="Line 3" tableColumnId="37"/>
      <queryTableField id="38" name="Postcode.1" tableColumnId="38"/>
      <queryTableField id="39" name="C1 Forename" tableColumnId="39"/>
      <queryTableField id="40" name="C1 Surname" tableColumnId="40"/>
      <queryTableField id="41" name="C1 Title" tableColumnId="41"/>
      <queryTableField id="89" name="C1 Gender" tableColumnId="7"/>
      <queryTableField id="42" name="C1 Mobile" tableColumnId="42"/>
      <queryTableField id="43" name="C1 Landline" tableColumnId="43"/>
      <queryTableField id="44" name="C1 Work" tableColumnId="44"/>
      <queryTableField id="45" name="C1 Email" tableColumnId="45"/>
      <queryTableField id="46" name="C1 Address as Pupil" tableColumnId="46"/>
      <queryTableField id="47" name="C1 Line1" tableColumnId="47"/>
      <queryTableField id="48" name="C1 Line 2" tableColumnId="48"/>
      <queryTableField id="49" name="C1 Line 3" tableColumnId="49"/>
      <queryTableField id="50" name="C1 Postcode" tableColumnId="50"/>
      <queryTableField id="51" name="C1 Relationship" tableColumnId="51"/>
      <queryTableField id="52" name="C1 PR" tableColumnId="52"/>
      <queryTableField id="53" name="C2 Processing Consent" tableColumnId="53"/>
      <queryTableField id="54" name="C2 Forename" tableColumnId="54"/>
      <queryTableField id="55" name="C2 Surname" tableColumnId="55"/>
      <queryTableField id="56" name="C2 Title" tableColumnId="56"/>
      <queryTableField id="90" name="C2 Gender" tableColumnId="8"/>
      <queryTableField id="57" name="C2 Mobile" tableColumnId="57"/>
      <queryTableField id="58" name="C2 Landline" tableColumnId="58"/>
      <queryTableField id="59" name="C2 Work" tableColumnId="59"/>
      <queryTableField id="60" name="C2 Email" tableColumnId="60"/>
      <queryTableField id="61" name="C2 Address as Pupil" tableColumnId="61"/>
      <queryTableField id="62" name="C2 Line 1" tableColumnId="62"/>
      <queryTableField id="63" name="C2 Line 2" tableColumnId="63"/>
      <queryTableField id="64" name="C2 Line 3" tableColumnId="64"/>
      <queryTableField id="65" name="C2 Postcode" tableColumnId="65"/>
      <queryTableField id="66" name="C2 Relationship" tableColumnId="66"/>
      <queryTableField id="67" name="C2 PR" tableColumnId="67"/>
      <queryTableField id="69" name="C3 Processing Consent" tableColumnId="69"/>
      <queryTableField id="70" name="C3 Forename" tableColumnId="70"/>
      <queryTableField id="71" name="C3 Surname" tableColumnId="71"/>
      <queryTableField id="72" name="C3 Title" tableColumnId="72"/>
      <queryTableField id="91" name="C3 Gender" tableColumnId="9"/>
      <queryTableField id="73" name="C3 Mobile" tableColumnId="73"/>
      <queryTableField id="74" name="C3 Landline" tableColumnId="74"/>
      <queryTableField id="75" name="C3 Work" tableColumnId="75"/>
      <queryTableField id="76" name="C3 Email" tableColumnId="76"/>
      <queryTableField id="77" name="C3 Address as pupil" tableColumnId="77"/>
      <queryTableField id="78" name="C3 Line 1" tableColumnId="78"/>
      <queryTableField id="79" name="C3 Line 2" tableColumnId="79"/>
      <queryTableField id="80" name="C3 Line 3" tableColumnId="80"/>
      <queryTableField id="81" name="C3 Postcode" tableColumnId="81"/>
      <queryTableField id="82" name="C3 Relationship" tableColumnId="82"/>
      <queryTableField id="83" name="C3 PR" tableColumnId="83"/>
      <queryTableField id="85" name="Ethnicity" tableColumnId="85"/>
      <queryTableField id="88" name="First Language" tableColumnId="4"/>
      <queryTableField id="92" name="Medical Con" tableColumnId="10"/>
      <queryTableField id="93" name="Medical Con Type" tableColumnId="11"/>
    </queryTableFields>
    <queryTableDeletedFields count="25">
      <deletedField name="Contact1Address3"/>
      <deletedField name="Address 3"/>
      <deletedField name="Child Preferred Surname"/>
      <deletedField name="Child Surname"/>
      <deletedField name="Child Forename"/>
      <deletedField name="Middle Name"/>
      <deletedField name="ID"/>
      <deletedField name="Preferred Forename"/>
      <deletedField name="Preferred Surname"/>
      <deletedField name="Completion time"/>
      <deletedField name="Has C3?"/>
      <deletedField name="FSM"/>
      <deletedField name="FSM Applied"/>
      <deletedField name="LAC"/>
      <deletedField name="LAC Authority"/>
      <deletedField name="PEP"/>
      <deletedField name="CP"/>
      <deletedField name="CP Authority"/>
      <deletedField name="SGO"/>
      <deletedField name="SEN"/>
      <deletedField name="EHC"/>
      <deletedField name="In Care"/>
      <deletedField name="FSMstartDate"/>
      <deletedField name="UKcountry"/>
      <deletedField name="FSMreviewDate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881A26-3DA6-45E0-9A8B-BA9F6B9D2C77}" name="Params" displayName="Params" ref="B2:D9" totalsRowShown="0" headerRowDxfId="69" dataDxfId="67" headerRowBorderDxfId="68" tableBorderDxfId="66">
  <autoFilter ref="B2:D9" xr:uid="{0F881A26-3DA6-45E0-9A8B-BA9F6B9D2C77}"/>
  <tableColumns count="3">
    <tableColumn id="1" xr3:uid="{1E56215A-0CFB-4FDB-B871-CEAABDB02C56}" name="Parameter" dataDxfId="65"/>
    <tableColumn id="2" xr3:uid="{2C58F9BF-CD95-4411-B60A-D3B84072B2E9}" name="Value" dataDxfId="64" dataCellStyle="Input"/>
    <tableColumn id="3" xr3:uid="{6BDFE74B-1F29-476C-AC7E-4A97BCB9165A}" name="Example" dataDxfId="63" dataCellStyle="Explanatory Text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A9CA9F-4FF0-4CD8-BCB6-1754B61B437E}" name="SourceData" displayName="SourceData" ref="A1:BO2" tableType="queryTable" totalsRowShown="0">
  <autoFilter ref="A1:BO2" xr:uid="{86A9CA9F-4FF0-4CD8-BCB6-1754B61B437E}"/>
  <sortState xmlns:xlrd2="http://schemas.microsoft.com/office/spreadsheetml/2017/richdata2" ref="A2:BO2">
    <sortCondition ref="E1:E2"/>
  </sortState>
  <tableColumns count="67">
    <tableColumn id="1" xr3:uid="{F886B2CE-7043-4923-98A0-AA6B54185322}" uniqueName="1" name="Child_ID" queryTableFieldId="1"/>
    <tableColumn id="2" xr3:uid="{A64C6CAC-08FB-415A-93B6-F6572772E8A5}" uniqueName="2" name="DfES UPN" queryTableFieldId="2" dataDxfId="62"/>
    <tableColumn id="14" xr3:uid="{D768E15C-ECAB-47F5-8DA9-AE567BF7D1C4}" uniqueName="14" name="Current School DfES" queryTableFieldId="14" dataDxfId="61"/>
    <tableColumn id="15" xr3:uid="{B22F8AD4-A918-4AA3-ADF5-AEF06D70C540}" uniqueName="15" name="Current School Name" queryTableFieldId="15" dataDxfId="60"/>
    <tableColumn id="26" xr3:uid="{EB40E42B-F83F-43B8-B791-928FF634955B}" uniqueName="26" name="FullName" queryTableFieldId="26" dataDxfId="59"/>
    <tableColumn id="28" xr3:uid="{8EC8EBB7-7E75-460F-92A5-C66BB68BDB59}" uniqueName="28" name="Legal Forename" queryTableFieldId="28" dataDxfId="58"/>
    <tableColumn id="29" xr3:uid="{5103FD0B-8F78-4FCD-9F83-A6892D7199EC}" uniqueName="29" name="Middle Name(s)" queryTableFieldId="29" dataDxfId="57"/>
    <tableColumn id="30" xr3:uid="{68609444-1FD1-47A9-9615-DB43FAD3CD67}" uniqueName="30" name="Legal Surname" queryTableFieldId="30" dataDxfId="56"/>
    <tableColumn id="3" xr3:uid="{83F3A46E-CC78-4B3F-918E-380346B7CA4E}" uniqueName="3" name="Preferred Forename" queryTableFieldId="253" dataDxfId="55"/>
    <tableColumn id="5" xr3:uid="{EFAD4CDB-B790-4E09-81C3-D444F3F32840}" uniqueName="5" name="Preferred Surname" queryTableFieldId="254" dataDxfId="54"/>
    <tableColumn id="34" xr3:uid="{DB155F0E-77FF-4304-BA6E-D421BAC6C3C1}" uniqueName="34" name="Gender" queryTableFieldId="34" dataDxfId="53"/>
    <tableColumn id="33" xr3:uid="{53B5612D-621B-4C4C-B91A-982E0D3750B7}" uniqueName="33" name="DOB" queryTableFieldId="33" dataDxfId="52"/>
    <tableColumn id="35" xr3:uid="{ED6CD6FC-12F0-4CED-ACE2-90B292FE46F1}" uniqueName="35" name="Line 1" queryTableFieldId="35" dataDxfId="51"/>
    <tableColumn id="36" xr3:uid="{87C4E010-08C8-41EA-AC7B-2A4AEEFDCF77}" uniqueName="36" name="Line 2" queryTableFieldId="36" dataDxfId="50"/>
    <tableColumn id="37" xr3:uid="{361C4A88-5834-45A3-9B35-3AC55E8F949E}" uniqueName="37" name="Line 3" queryTableFieldId="37" dataDxfId="49"/>
    <tableColumn id="38" xr3:uid="{DFE655C9-4154-4E7F-97F1-AF7C85C7F2CD}" uniqueName="38" name="Postcode" queryTableFieldId="38" dataDxfId="48"/>
    <tableColumn id="39" xr3:uid="{72B675CD-9E8F-40A9-80EF-19D647BA63FF}" uniqueName="39" name="C1 Forename" queryTableFieldId="39" dataDxfId="47"/>
    <tableColumn id="40" xr3:uid="{88BC8E18-CB5C-4AC6-9D74-4B5CF9243ACE}" uniqueName="40" name="C1 Surname" queryTableFieldId="40" dataDxfId="46"/>
    <tableColumn id="41" xr3:uid="{4A5EECDD-09F8-4B05-8AC6-680A79C51873}" uniqueName="41" name="C1 Title" queryTableFieldId="41" dataDxfId="45"/>
    <tableColumn id="7" xr3:uid="{4F9C7CEF-156B-44B3-BDBF-83FACAEAABE6}" uniqueName="7" name="C1 Gender" queryTableFieldId="89"/>
    <tableColumn id="42" xr3:uid="{7A64CCC5-0247-4377-B44B-1543991AA561}" uniqueName="42" name="C1 Mobile" queryTableFieldId="42" dataDxfId="44"/>
    <tableColumn id="43" xr3:uid="{91558E6E-66F6-49E2-AD8A-3906C56AC359}" uniqueName="43" name="C1 Landline" queryTableFieldId="43" dataDxfId="43"/>
    <tableColumn id="44" xr3:uid="{6D80556F-743C-443D-B81E-D0262109DBFB}" uniqueName="44" name="C1 Work" queryTableFieldId="44" dataDxfId="42"/>
    <tableColumn id="45" xr3:uid="{151789DA-B2A2-4217-97CA-F7C1FADF7D83}" uniqueName="45" name="C1 Email" queryTableFieldId="45" dataDxfId="41" dataCellStyle="Hyperlink"/>
    <tableColumn id="46" xr3:uid="{519E98D1-0EE1-4F74-8BC6-F033471EF196}" uniqueName="46" name="C1 Address as Pupil" queryTableFieldId="46" dataDxfId="40"/>
    <tableColumn id="47" xr3:uid="{0F413C46-4717-4FCB-999F-02173FB95AAC}" uniqueName="47" name="C1 Line1" queryTableFieldId="47" dataDxfId="39"/>
    <tableColumn id="48" xr3:uid="{AC54CE1E-5FE0-4237-A8DC-E246F512F439}" uniqueName="48" name="C1 Line 2" queryTableFieldId="48" dataDxfId="38"/>
    <tableColumn id="49" xr3:uid="{302CC5F8-D86C-4B88-9B38-AD90D5E3140B}" uniqueName="49" name="C1 Line 3" queryTableFieldId="49" dataDxfId="37"/>
    <tableColumn id="50" xr3:uid="{085A7D55-CD16-4243-967E-97F80553DB18}" uniqueName="50" name="C1 Postcode" queryTableFieldId="50" dataDxfId="36"/>
    <tableColumn id="51" xr3:uid="{0741AD60-A67A-4F69-9B29-178E89BCEAA3}" uniqueName="51" name="C1 Relationship" queryTableFieldId="51" dataDxfId="35"/>
    <tableColumn id="52" xr3:uid="{DC4052B8-CC41-43A3-9096-47D68D4AE886}" uniqueName="52" name="C1 PR" queryTableFieldId="52" dataDxfId="34"/>
    <tableColumn id="53" xr3:uid="{491DA4C4-01AF-4B20-B432-1A627A68F2BD}" uniqueName="53" name="C2 Processing Consent" queryTableFieldId="53" dataDxfId="33"/>
    <tableColumn id="54" xr3:uid="{99CD4DAA-CAE1-4BE7-9815-B4DBBA507E7C}" uniqueName="54" name="C2 Forename" queryTableFieldId="54" dataDxfId="32"/>
    <tableColumn id="55" xr3:uid="{5217A98C-3288-4647-9331-A49745E54B41}" uniqueName="55" name="C2 Surname" queryTableFieldId="55" dataDxfId="31"/>
    <tableColumn id="56" xr3:uid="{B67D5EA8-28F9-4995-A071-C41A975FB696}" uniqueName="56" name="C2 Title" queryTableFieldId="56" dataDxfId="30"/>
    <tableColumn id="8" xr3:uid="{5ECEF8BD-14B1-49C4-89E2-D527E5A14E33}" uniqueName="8" name="C2 Gender" queryTableFieldId="90"/>
    <tableColumn id="57" xr3:uid="{B91383CE-3D67-4394-9D12-28F0B4469AE9}" uniqueName="57" name="C2 Mobile" queryTableFieldId="57" dataDxfId="29"/>
    <tableColumn id="58" xr3:uid="{7AD816FD-3D66-425D-B464-3FCD989AC69F}" uniqueName="58" name="C2 Landline" queryTableFieldId="58" dataDxfId="28"/>
    <tableColumn id="59" xr3:uid="{6880ECD7-3A00-45C4-8D7F-D9B140F4EF6A}" uniqueName="59" name="C2 Work" queryTableFieldId="59" dataDxfId="27"/>
    <tableColumn id="60" xr3:uid="{7898FBE2-6730-40DE-B21E-77869EE1EBD9}" uniqueName="60" name="C2 Email" queryTableFieldId="60" dataDxfId="26" dataCellStyle="Hyperlink"/>
    <tableColumn id="61" xr3:uid="{A5CD5658-9FE2-4359-990D-613327FC286A}" uniqueName="61" name="C2 Address as Pupil" queryTableFieldId="61" dataDxfId="25"/>
    <tableColumn id="62" xr3:uid="{ED803A1E-E76B-47C7-8A4B-D31DC720A0B9}" uniqueName="62" name="C2 Line 1" queryTableFieldId="62" dataDxfId="24"/>
    <tableColumn id="63" xr3:uid="{B01C5BE3-5CFB-4B3D-9C2F-08225FC55D5E}" uniqueName="63" name="C2 Line 2" queryTableFieldId="63" dataDxfId="23"/>
    <tableColumn id="64" xr3:uid="{1E50FC77-E4E4-4944-930F-C70EF23AE8AE}" uniqueName="64" name="C2 Line 3" queryTableFieldId="64" dataDxfId="22"/>
    <tableColumn id="65" xr3:uid="{D90F3617-5138-4D64-B953-F832249EF1A3}" uniqueName="65" name="C2 Postcode" queryTableFieldId="65" dataDxfId="21"/>
    <tableColumn id="66" xr3:uid="{B85F466B-08DB-4DB3-BABF-2421FF42E179}" uniqueName="66" name="C2 Relationship" queryTableFieldId="66" dataDxfId="20"/>
    <tableColumn id="67" xr3:uid="{AA0C8140-E75A-4157-9AEE-4E11A7F745B8}" uniqueName="67" name="C2 PR" queryTableFieldId="67" dataDxfId="19"/>
    <tableColumn id="69" xr3:uid="{FBF474DF-E418-4922-BB0A-F1C44ADD471D}" uniqueName="69" name="C3 Processing Consent" queryTableFieldId="69" dataDxfId="18"/>
    <tableColumn id="70" xr3:uid="{17CC6377-EB5D-4623-9AAE-9BD2CAA596C3}" uniqueName="70" name="C3 Forename" queryTableFieldId="70" dataDxfId="17"/>
    <tableColumn id="71" xr3:uid="{8ECF7EC1-6E35-4F70-9029-E4D0C9A04A99}" uniqueName="71" name="C3 Surname" queryTableFieldId="71" dataDxfId="16"/>
    <tableColumn id="72" xr3:uid="{062DCAFD-5B40-44EC-B50F-0C71E882F45E}" uniqueName="72" name="C3 Title" queryTableFieldId="72" dataDxfId="15"/>
    <tableColumn id="9" xr3:uid="{4EA33C8A-9152-4AED-9899-A27131783733}" uniqueName="9" name="C3 Gender" queryTableFieldId="91"/>
    <tableColumn id="73" xr3:uid="{68CAD68D-D4FA-4BA4-9EE3-829C0CE0987B}" uniqueName="73" name="C3 Mobile" queryTableFieldId="73" dataDxfId="14"/>
    <tableColumn id="74" xr3:uid="{7315FFE3-BCBC-4A7B-8B72-6F796F3DED69}" uniqueName="74" name="C3 Landline" queryTableFieldId="74" dataDxfId="13"/>
    <tableColumn id="75" xr3:uid="{71F3D447-F744-4543-80C0-ECCFD50A768B}" uniqueName="75" name="C3 Work" queryTableFieldId="75" dataDxfId="12"/>
    <tableColumn id="76" xr3:uid="{F2EDCED1-0FD5-4FA5-9D4E-3DBD084A17D7}" uniqueName="76" name="C3 Email" queryTableFieldId="76" dataDxfId="11"/>
    <tableColumn id="77" xr3:uid="{F44B337A-4555-404B-B598-72CAF70B0054}" uniqueName="77" name="C3 Address as pupil" queryTableFieldId="77" dataDxfId="10"/>
    <tableColumn id="78" xr3:uid="{051B2A3B-F136-4491-8F4D-2C8B8D85B6BC}" uniqueName="78" name="C3 Line 1" queryTableFieldId="78" dataDxfId="9"/>
    <tableColumn id="79" xr3:uid="{6587542A-EC49-4F60-81B9-4A548D7E53D0}" uniqueName="79" name="C3 Line 2" queryTableFieldId="79" dataDxfId="8"/>
    <tableColumn id="80" xr3:uid="{185C9B38-5BE8-4C9E-BD79-8F0BA431B77A}" uniqueName="80" name="C3 Line 3" queryTableFieldId="80" dataDxfId="7"/>
    <tableColumn id="81" xr3:uid="{63134C77-5E85-49EE-8A33-FBEF9C1C6616}" uniqueName="81" name="C3 Postcode" queryTableFieldId="81" dataDxfId="6"/>
    <tableColumn id="82" xr3:uid="{CE221AD0-CA77-4B28-828B-1EC21A86A3C6}" uniqueName="82" name="C3 Relationship" queryTableFieldId="82" dataDxfId="5"/>
    <tableColumn id="83" xr3:uid="{BE782CBA-A2A3-49E0-A59E-3A489E7EEA6E}" uniqueName="83" name="C3 PR" queryTableFieldId="83" dataDxfId="4"/>
    <tableColumn id="85" xr3:uid="{7EF3478C-5564-4650-B7B0-A444016179BF}" uniqueName="85" name="Ethnicity" queryTableFieldId="85" dataDxfId="3"/>
    <tableColumn id="4" xr3:uid="{11F638B8-775E-4E44-B4F6-590E3A1FD874}" uniqueName="4" name="First Language" queryTableFieldId="88" dataDxfId="2"/>
    <tableColumn id="10" xr3:uid="{43B9A8C2-AFA8-4E6D-9A22-02E27CF0933A}" uniqueName="10" name="Medical Con" queryTableFieldId="92" dataDxfId="1"/>
    <tableColumn id="11" xr3:uid="{5C1981EF-6605-4EC2-BE98-55256BB286F7}" uniqueName="11" name="Medical Con Type" queryTableFieldId="9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coyles@ossett.accordmat.org" TargetMode="External"/><Relationship Id="rId1" Type="http://schemas.openxmlformats.org/officeDocument/2006/relationships/hyperlink" Target="mailto:mcoyles@accordmat.org" TargetMode="Externa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3E670-E6FA-4571-8B30-09645268CFED}">
  <sheetPr codeName="Sheet1"/>
  <dimension ref="B1:D13"/>
  <sheetViews>
    <sheetView tabSelected="1" workbookViewId="0">
      <selection activeCell="B1" sqref="B1:D1"/>
    </sheetView>
  </sheetViews>
  <sheetFormatPr defaultRowHeight="15" x14ac:dyDescent="0.25"/>
  <cols>
    <col min="2" max="2" width="16.42578125" customWidth="1"/>
    <col min="3" max="3" width="32.85546875" customWidth="1"/>
    <col min="4" max="4" width="31.42578125" bestFit="1" customWidth="1"/>
  </cols>
  <sheetData>
    <row r="1" spans="2:4" ht="30" customHeight="1" thickBot="1" x14ac:dyDescent="0.3">
      <c r="B1" s="20" t="s">
        <v>108</v>
      </c>
      <c r="C1" s="20"/>
      <c r="D1" s="20"/>
    </row>
    <row r="2" spans="2:4" ht="15.75" thickBot="1" x14ac:dyDescent="0.3">
      <c r="B2" s="1" t="s">
        <v>3</v>
      </c>
      <c r="C2" s="2" t="s">
        <v>4</v>
      </c>
      <c r="D2" s="3" t="s">
        <v>5</v>
      </c>
    </row>
    <row r="3" spans="2:4" s="4" customFormat="1" ht="24" customHeight="1" x14ac:dyDescent="0.25">
      <c r="B3" s="4" t="s">
        <v>0</v>
      </c>
      <c r="C3" s="6" t="s">
        <v>105</v>
      </c>
      <c r="D3" s="5" t="s">
        <v>6</v>
      </c>
    </row>
    <row r="4" spans="2:4" s="4" customFormat="1" ht="24" customHeight="1" x14ac:dyDescent="0.25">
      <c r="B4" s="4" t="s">
        <v>7</v>
      </c>
      <c r="C4" s="7">
        <v>384</v>
      </c>
      <c r="D4" s="5">
        <v>384</v>
      </c>
    </row>
    <row r="5" spans="2:4" s="4" customFormat="1" ht="24" customHeight="1" x14ac:dyDescent="0.25">
      <c r="B5" s="4" t="s">
        <v>1</v>
      </c>
      <c r="C5" s="7">
        <v>4023</v>
      </c>
      <c r="D5" s="5">
        <v>4023</v>
      </c>
    </row>
    <row r="6" spans="2:4" s="4" customFormat="1" ht="24" customHeight="1" x14ac:dyDescent="0.25">
      <c r="B6" s="4" t="s">
        <v>2</v>
      </c>
      <c r="C6" s="8">
        <v>138707</v>
      </c>
      <c r="D6" s="5">
        <v>138707</v>
      </c>
    </row>
    <row r="7" spans="2:4" ht="24" customHeight="1" x14ac:dyDescent="0.25">
      <c r="B7" s="9" t="s">
        <v>8</v>
      </c>
      <c r="C7" s="8" t="s">
        <v>10</v>
      </c>
      <c r="D7" s="10" t="s">
        <v>107</v>
      </c>
    </row>
    <row r="8" spans="2:4" ht="24" customHeight="1" x14ac:dyDescent="0.25">
      <c r="B8" s="9" t="s">
        <v>9</v>
      </c>
      <c r="C8" s="11" t="str">
        <f>C4&amp;C5&amp;".ctf"</f>
        <v>3844023.ctf</v>
      </c>
      <c r="D8" s="10" t="s">
        <v>11</v>
      </c>
    </row>
    <row r="9" spans="2:4" ht="24" customHeight="1" x14ac:dyDescent="0.25">
      <c r="B9" s="9" t="s">
        <v>106</v>
      </c>
      <c r="C9" s="16" t="str">
        <f ca="1">TEXT(NOW(),"YYYY-MM-DDThh:mm:ss")</f>
        <v>2023-04-28T14:31:38</v>
      </c>
      <c r="D9" s="10"/>
    </row>
    <row r="11" spans="2:4" x14ac:dyDescent="0.25">
      <c r="B11" s="21" t="s">
        <v>109</v>
      </c>
      <c r="C11" s="21"/>
      <c r="D11" s="21"/>
    </row>
    <row r="12" spans="2:4" ht="39.75" customHeight="1" x14ac:dyDescent="0.25">
      <c r="B12" s="22" t="s">
        <v>130</v>
      </c>
      <c r="C12" s="22"/>
      <c r="D12" s="22"/>
    </row>
    <row r="13" spans="2:4" ht="36.75" customHeight="1" x14ac:dyDescent="0.25">
      <c r="B13" s="23"/>
      <c r="C13" s="23"/>
      <c r="D13" s="23"/>
    </row>
  </sheetData>
  <mergeCells count="4">
    <mergeCell ref="B1:D1"/>
    <mergeCell ref="B11:D11"/>
    <mergeCell ref="B12:D12"/>
    <mergeCell ref="B13:D1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A7CC8-8B09-419A-9263-57E7E92FF3A8}">
  <sheetPr codeName="Sheet3"/>
  <dimension ref="A1:BO2"/>
  <sheetViews>
    <sheetView workbookViewId="0">
      <selection activeCell="H16" sqref="H16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21" bestFit="1" customWidth="1"/>
    <col min="4" max="4" width="38.85546875" bestFit="1" customWidth="1"/>
    <col min="5" max="5" width="12.140625" bestFit="1" customWidth="1"/>
    <col min="6" max="6" width="17.42578125" bestFit="1" customWidth="1"/>
    <col min="7" max="7" width="17.85546875" bestFit="1" customWidth="1"/>
    <col min="8" max="8" width="16.28515625" bestFit="1" customWidth="1"/>
    <col min="9" max="9" width="21.5703125" bestFit="1" customWidth="1"/>
    <col min="10" max="10" width="20.42578125" bestFit="1" customWidth="1"/>
    <col min="11" max="11" width="10" bestFit="1" customWidth="1"/>
    <col min="12" max="12" width="10.42578125" bestFit="1" customWidth="1"/>
    <col min="13" max="13" width="8.42578125" bestFit="1" customWidth="1"/>
    <col min="14" max="14" width="11.7109375" bestFit="1" customWidth="1"/>
    <col min="15" max="15" width="8.42578125" bestFit="1" customWidth="1"/>
    <col min="16" max="16" width="11.42578125" bestFit="1" customWidth="1"/>
    <col min="17" max="17" width="14.85546875" bestFit="1" customWidth="1"/>
    <col min="18" max="18" width="13.7109375" bestFit="1" customWidth="1"/>
    <col min="19" max="19" width="9.85546875" bestFit="1" customWidth="1"/>
    <col min="20" max="20" width="12.5703125" bestFit="1" customWidth="1"/>
    <col min="21" max="21" width="12.28515625" bestFit="1" customWidth="1"/>
    <col min="22" max="22" width="13.42578125" bestFit="1" customWidth="1"/>
    <col min="23" max="23" width="12" bestFit="1" customWidth="1"/>
    <col min="24" max="24" width="26.140625" bestFit="1" customWidth="1"/>
    <col min="25" max="25" width="20.5703125" bestFit="1" customWidth="1"/>
    <col min="26" max="26" width="10.5703125" bestFit="1" customWidth="1"/>
    <col min="27" max="28" width="11" bestFit="1" customWidth="1"/>
    <col min="29" max="29" width="14" bestFit="1" customWidth="1"/>
    <col min="30" max="30" width="17.140625" bestFit="1" customWidth="1"/>
    <col min="31" max="31" width="8.140625" bestFit="1" customWidth="1"/>
    <col min="32" max="32" width="23.28515625" bestFit="1" customWidth="1"/>
    <col min="33" max="33" width="14.85546875" bestFit="1" customWidth="1"/>
    <col min="34" max="34" width="13.7109375" bestFit="1" customWidth="1"/>
    <col min="35" max="35" width="9.85546875" bestFit="1" customWidth="1"/>
    <col min="36" max="36" width="12.5703125" bestFit="1" customWidth="1"/>
    <col min="37" max="37" width="12.28515625" bestFit="1" customWidth="1"/>
    <col min="38" max="38" width="13.42578125" bestFit="1" customWidth="1"/>
    <col min="39" max="39" width="10.7109375" bestFit="1" customWidth="1"/>
    <col min="40" max="40" width="23" bestFit="1" customWidth="1"/>
    <col min="41" max="41" width="20.5703125" bestFit="1" customWidth="1"/>
    <col min="42" max="44" width="11" bestFit="1" customWidth="1"/>
    <col min="45" max="45" width="14" bestFit="1" customWidth="1"/>
    <col min="46" max="46" width="17.140625" bestFit="1" customWidth="1"/>
    <col min="47" max="47" width="8.140625" bestFit="1" customWidth="1"/>
    <col min="48" max="48" width="23.28515625" bestFit="1" customWidth="1"/>
    <col min="49" max="49" width="14.85546875" bestFit="1" customWidth="1"/>
    <col min="50" max="50" width="13.7109375" bestFit="1" customWidth="1"/>
    <col min="51" max="51" width="9.85546875" bestFit="1" customWidth="1"/>
    <col min="52" max="52" width="12.5703125" bestFit="1" customWidth="1"/>
    <col min="53" max="53" width="12.28515625" bestFit="1" customWidth="1"/>
    <col min="54" max="54" width="13.42578125" bestFit="1" customWidth="1"/>
    <col min="55" max="56" width="10.7109375" bestFit="1" customWidth="1"/>
    <col min="57" max="57" width="20.5703125" bestFit="1" customWidth="1"/>
    <col min="58" max="60" width="11" bestFit="1" customWidth="1"/>
    <col min="61" max="61" width="14" bestFit="1" customWidth="1"/>
    <col min="62" max="62" width="17.140625" bestFit="1" customWidth="1"/>
    <col min="63" max="63" width="8.140625" bestFit="1" customWidth="1"/>
    <col min="64" max="64" width="11" bestFit="1" customWidth="1"/>
    <col min="65" max="65" width="16" bestFit="1" customWidth="1"/>
    <col min="66" max="66" width="14.28515625" bestFit="1" customWidth="1"/>
    <col min="67" max="67" width="19.140625" bestFit="1" customWidth="1"/>
    <col min="68" max="68" width="12.5703125" bestFit="1" customWidth="1"/>
    <col min="69" max="69" width="17.5703125" bestFit="1" customWidth="1"/>
    <col min="70" max="70" width="12.5703125" bestFit="1" customWidth="1"/>
    <col min="73" max="73" width="12.5703125" bestFit="1" customWidth="1"/>
    <col min="74" max="74" width="17.5703125" bestFit="1" customWidth="1"/>
    <col min="75" max="75" width="18.42578125" bestFit="1" customWidth="1"/>
  </cols>
  <sheetData>
    <row r="1" spans="1:67" x14ac:dyDescent="0.25">
      <c r="A1" t="s">
        <v>12</v>
      </c>
      <c r="B1" t="s">
        <v>13</v>
      </c>
      <c r="C1" t="s">
        <v>14</v>
      </c>
      <c r="D1" t="s">
        <v>15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102</v>
      </c>
      <c r="L1" t="s">
        <v>104</v>
      </c>
      <c r="M1" t="s">
        <v>24</v>
      </c>
      <c r="N1" t="s">
        <v>25</v>
      </c>
      <c r="O1" t="s">
        <v>26</v>
      </c>
      <c r="P1" t="s">
        <v>103</v>
      </c>
      <c r="Q1" t="s">
        <v>27</v>
      </c>
      <c r="R1" t="s">
        <v>28</v>
      </c>
      <c r="S1" t="s">
        <v>29</v>
      </c>
      <c r="T1" t="s">
        <v>84</v>
      </c>
      <c r="U1" t="s">
        <v>30</v>
      </c>
      <c r="V1" t="s">
        <v>31</v>
      </c>
      <c r="W1" t="s">
        <v>32</v>
      </c>
      <c r="X1" t="s">
        <v>33</v>
      </c>
      <c r="Y1" t="s">
        <v>34</v>
      </c>
      <c r="Z1" t="s">
        <v>35</v>
      </c>
      <c r="AA1" t="s">
        <v>36</v>
      </c>
      <c r="AB1" t="s">
        <v>37</v>
      </c>
      <c r="AC1" t="s">
        <v>38</v>
      </c>
      <c r="AD1" t="s">
        <v>39</v>
      </c>
      <c r="AE1" t="s">
        <v>40</v>
      </c>
      <c r="AF1" t="s">
        <v>41</v>
      </c>
      <c r="AG1" t="s">
        <v>42</v>
      </c>
      <c r="AH1" t="s">
        <v>43</v>
      </c>
      <c r="AI1" t="s">
        <v>44</v>
      </c>
      <c r="AJ1" t="s">
        <v>85</v>
      </c>
      <c r="AK1" t="s">
        <v>45</v>
      </c>
      <c r="AL1" t="s">
        <v>46</v>
      </c>
      <c r="AM1" t="s">
        <v>47</v>
      </c>
      <c r="AN1" t="s">
        <v>48</v>
      </c>
      <c r="AO1" t="s">
        <v>49</v>
      </c>
      <c r="AP1" t="s">
        <v>50</v>
      </c>
      <c r="AQ1" t="s">
        <v>51</v>
      </c>
      <c r="AR1" t="s">
        <v>52</v>
      </c>
      <c r="AS1" t="s">
        <v>53</v>
      </c>
      <c r="AT1" t="s">
        <v>54</v>
      </c>
      <c r="AU1" t="s">
        <v>55</v>
      </c>
      <c r="AV1" t="s">
        <v>56</v>
      </c>
      <c r="AW1" t="s">
        <v>57</v>
      </c>
      <c r="AX1" t="s">
        <v>58</v>
      </c>
      <c r="AY1" t="s">
        <v>59</v>
      </c>
      <c r="AZ1" t="s">
        <v>86</v>
      </c>
      <c r="BA1" t="s">
        <v>60</v>
      </c>
      <c r="BB1" t="s">
        <v>61</v>
      </c>
      <c r="BC1" t="s">
        <v>62</v>
      </c>
      <c r="BD1" t="s">
        <v>63</v>
      </c>
      <c r="BE1" t="s">
        <v>64</v>
      </c>
      <c r="BF1" t="s">
        <v>65</v>
      </c>
      <c r="BG1" t="s">
        <v>66</v>
      </c>
      <c r="BH1" t="s">
        <v>67</v>
      </c>
      <c r="BI1" t="s">
        <v>68</v>
      </c>
      <c r="BJ1" t="s">
        <v>69</v>
      </c>
      <c r="BK1" t="s">
        <v>70</v>
      </c>
      <c r="BL1" t="s">
        <v>71</v>
      </c>
      <c r="BM1" t="s">
        <v>72</v>
      </c>
      <c r="BN1" t="s">
        <v>73</v>
      </c>
      <c r="BO1" t="s">
        <v>74</v>
      </c>
    </row>
    <row r="2" spans="1:67" x14ac:dyDescent="0.25">
      <c r="A2">
        <v>123456</v>
      </c>
      <c r="B2" t="s">
        <v>101</v>
      </c>
      <c r="C2">
        <v>3843319</v>
      </c>
      <c r="D2" t="s">
        <v>90</v>
      </c>
      <c r="E2" t="s">
        <v>114</v>
      </c>
      <c r="F2" t="s">
        <v>115</v>
      </c>
      <c r="G2" t="s">
        <v>116</v>
      </c>
      <c r="H2" t="s">
        <v>117</v>
      </c>
      <c r="I2" t="s">
        <v>115</v>
      </c>
      <c r="J2" t="s">
        <v>117</v>
      </c>
      <c r="K2" t="s">
        <v>91</v>
      </c>
      <c r="L2" s="12" t="s">
        <v>100</v>
      </c>
      <c r="M2" t="s">
        <v>113</v>
      </c>
      <c r="N2" t="s">
        <v>110</v>
      </c>
      <c r="O2" t="s">
        <v>111</v>
      </c>
      <c r="P2" t="s">
        <v>112</v>
      </c>
      <c r="Q2" t="s">
        <v>118</v>
      </c>
      <c r="R2" t="s">
        <v>119</v>
      </c>
      <c r="S2" t="s">
        <v>95</v>
      </c>
      <c r="T2" t="s">
        <v>91</v>
      </c>
      <c r="U2" s="17" t="s">
        <v>120</v>
      </c>
      <c r="V2" s="18"/>
      <c r="W2" s="18" t="s">
        <v>121</v>
      </c>
      <c r="X2" s="19" t="s">
        <v>122</v>
      </c>
      <c r="Y2" t="s">
        <v>93</v>
      </c>
      <c r="AD2" t="s">
        <v>96</v>
      </c>
      <c r="AE2" t="s">
        <v>93</v>
      </c>
      <c r="AF2" t="s">
        <v>93</v>
      </c>
      <c r="AG2" t="s">
        <v>123</v>
      </c>
      <c r="AH2" t="s">
        <v>119</v>
      </c>
      <c r="AI2" t="s">
        <v>92</v>
      </c>
      <c r="AJ2" t="s">
        <v>99</v>
      </c>
      <c r="AK2" s="18" t="s">
        <v>124</v>
      </c>
      <c r="AL2" s="18"/>
      <c r="AM2" s="18"/>
      <c r="AN2" s="19" t="s">
        <v>125</v>
      </c>
      <c r="AO2" t="s">
        <v>97</v>
      </c>
      <c r="AP2" t="s">
        <v>126</v>
      </c>
      <c r="AR2" t="s">
        <v>127</v>
      </c>
      <c r="AS2" t="s">
        <v>128</v>
      </c>
      <c r="AT2" t="s">
        <v>94</v>
      </c>
      <c r="AU2" t="s">
        <v>93</v>
      </c>
      <c r="BL2" t="s">
        <v>98</v>
      </c>
      <c r="BM2" t="s">
        <v>129</v>
      </c>
      <c r="BN2" t="s">
        <v>97</v>
      </c>
    </row>
  </sheetData>
  <hyperlinks>
    <hyperlink ref="X2" r:id="rId1" xr:uid="{5F40C84A-4566-4C9B-BFC8-1FCC16B9EA4B}"/>
    <hyperlink ref="AN2" r:id="rId2" xr:uid="{C860CAE4-045A-4CBF-9969-9560F4D3A61F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ED94D-27BE-4AF1-AB16-5AEA66DBE90B}">
  <sheetPr codeName="Sheet2"/>
  <dimension ref="A1:B81"/>
  <sheetViews>
    <sheetView workbookViewId="0">
      <selection sqref="A1:XFD1"/>
    </sheetView>
  </sheetViews>
  <sheetFormatPr defaultRowHeight="15" x14ac:dyDescent="0.25"/>
  <cols>
    <col min="1" max="1" width="21" bestFit="1" customWidth="1"/>
  </cols>
  <sheetData>
    <row r="1" spans="1:2" x14ac:dyDescent="0.25">
      <c r="A1" s="13" t="s">
        <v>12</v>
      </c>
      <c r="B1">
        <v>1</v>
      </c>
    </row>
    <row r="2" spans="1:2" x14ac:dyDescent="0.25">
      <c r="A2" s="14" t="s">
        <v>13</v>
      </c>
      <c r="B2">
        <f>B1+1</f>
        <v>2</v>
      </c>
    </row>
    <row r="3" spans="1:2" x14ac:dyDescent="0.25">
      <c r="A3" s="14" t="s">
        <v>14</v>
      </c>
      <c r="B3">
        <f t="shared" ref="B3:B66" si="0">B2+1</f>
        <v>3</v>
      </c>
    </row>
    <row r="4" spans="1:2" x14ac:dyDescent="0.25">
      <c r="A4" s="14" t="s">
        <v>15</v>
      </c>
      <c r="B4">
        <f t="shared" si="0"/>
        <v>4</v>
      </c>
    </row>
    <row r="5" spans="1:2" x14ac:dyDescent="0.25">
      <c r="A5" s="14" t="s">
        <v>18</v>
      </c>
      <c r="B5">
        <f t="shared" si="0"/>
        <v>5</v>
      </c>
    </row>
    <row r="6" spans="1:2" x14ac:dyDescent="0.25">
      <c r="A6" s="14" t="s">
        <v>19</v>
      </c>
      <c r="B6">
        <f t="shared" si="0"/>
        <v>6</v>
      </c>
    </row>
    <row r="7" spans="1:2" x14ac:dyDescent="0.25">
      <c r="A7" s="14" t="s">
        <v>20</v>
      </c>
      <c r="B7">
        <f t="shared" si="0"/>
        <v>7</v>
      </c>
    </row>
    <row r="8" spans="1:2" x14ac:dyDescent="0.25">
      <c r="A8" s="14" t="s">
        <v>21</v>
      </c>
      <c r="B8">
        <f t="shared" si="0"/>
        <v>8</v>
      </c>
    </row>
    <row r="9" spans="1:2" x14ac:dyDescent="0.25">
      <c r="A9" s="14" t="s">
        <v>22</v>
      </c>
      <c r="B9">
        <f t="shared" si="0"/>
        <v>9</v>
      </c>
    </row>
    <row r="10" spans="1:2" x14ac:dyDescent="0.25">
      <c r="A10" s="14" t="s">
        <v>23</v>
      </c>
      <c r="B10">
        <f t="shared" si="0"/>
        <v>10</v>
      </c>
    </row>
    <row r="11" spans="1:2" x14ac:dyDescent="0.25">
      <c r="A11" s="14" t="s">
        <v>102</v>
      </c>
      <c r="B11">
        <f t="shared" si="0"/>
        <v>11</v>
      </c>
    </row>
    <row r="12" spans="1:2" x14ac:dyDescent="0.25">
      <c r="A12" s="14" t="s">
        <v>104</v>
      </c>
      <c r="B12">
        <f t="shared" si="0"/>
        <v>12</v>
      </c>
    </row>
    <row r="13" spans="1:2" x14ac:dyDescent="0.25">
      <c r="A13" s="14" t="s">
        <v>24</v>
      </c>
      <c r="B13">
        <f t="shared" si="0"/>
        <v>13</v>
      </c>
    </row>
    <row r="14" spans="1:2" x14ac:dyDescent="0.25">
      <c r="A14" s="14" t="s">
        <v>25</v>
      </c>
      <c r="B14">
        <f t="shared" si="0"/>
        <v>14</v>
      </c>
    </row>
    <row r="15" spans="1:2" x14ac:dyDescent="0.25">
      <c r="A15" s="14" t="s">
        <v>26</v>
      </c>
      <c r="B15">
        <f t="shared" si="0"/>
        <v>15</v>
      </c>
    </row>
    <row r="16" spans="1:2" x14ac:dyDescent="0.25">
      <c r="A16" s="14" t="s">
        <v>103</v>
      </c>
      <c r="B16">
        <f t="shared" si="0"/>
        <v>16</v>
      </c>
    </row>
    <row r="17" spans="1:2" x14ac:dyDescent="0.25">
      <c r="A17" s="14" t="s">
        <v>27</v>
      </c>
      <c r="B17">
        <f t="shared" si="0"/>
        <v>17</v>
      </c>
    </row>
    <row r="18" spans="1:2" x14ac:dyDescent="0.25">
      <c r="A18" s="14" t="s">
        <v>28</v>
      </c>
      <c r="B18">
        <f t="shared" si="0"/>
        <v>18</v>
      </c>
    </row>
    <row r="19" spans="1:2" x14ac:dyDescent="0.25">
      <c r="A19" s="14" t="s">
        <v>29</v>
      </c>
      <c r="B19">
        <f t="shared" si="0"/>
        <v>19</v>
      </c>
    </row>
    <row r="20" spans="1:2" x14ac:dyDescent="0.25">
      <c r="A20" s="14" t="s">
        <v>84</v>
      </c>
      <c r="B20">
        <f t="shared" si="0"/>
        <v>20</v>
      </c>
    </row>
    <row r="21" spans="1:2" x14ac:dyDescent="0.25">
      <c r="A21" s="14" t="s">
        <v>30</v>
      </c>
      <c r="B21">
        <f t="shared" si="0"/>
        <v>21</v>
      </c>
    </row>
    <row r="22" spans="1:2" x14ac:dyDescent="0.25">
      <c r="A22" s="14" t="s">
        <v>31</v>
      </c>
      <c r="B22">
        <f t="shared" si="0"/>
        <v>22</v>
      </c>
    </row>
    <row r="23" spans="1:2" x14ac:dyDescent="0.25">
      <c r="A23" s="14" t="s">
        <v>32</v>
      </c>
      <c r="B23">
        <f t="shared" si="0"/>
        <v>23</v>
      </c>
    </row>
    <row r="24" spans="1:2" x14ac:dyDescent="0.25">
      <c r="A24" s="14" t="s">
        <v>33</v>
      </c>
      <c r="B24">
        <f t="shared" si="0"/>
        <v>24</v>
      </c>
    </row>
    <row r="25" spans="1:2" x14ac:dyDescent="0.25">
      <c r="A25" s="14" t="s">
        <v>34</v>
      </c>
      <c r="B25">
        <f t="shared" si="0"/>
        <v>25</v>
      </c>
    </row>
    <row r="26" spans="1:2" x14ac:dyDescent="0.25">
      <c r="A26" s="14" t="s">
        <v>35</v>
      </c>
      <c r="B26">
        <f t="shared" si="0"/>
        <v>26</v>
      </c>
    </row>
    <row r="27" spans="1:2" x14ac:dyDescent="0.25">
      <c r="A27" s="14" t="s">
        <v>36</v>
      </c>
      <c r="B27">
        <f t="shared" si="0"/>
        <v>27</v>
      </c>
    </row>
    <row r="28" spans="1:2" x14ac:dyDescent="0.25">
      <c r="A28" s="14" t="s">
        <v>37</v>
      </c>
      <c r="B28">
        <f t="shared" si="0"/>
        <v>28</v>
      </c>
    </row>
    <row r="29" spans="1:2" x14ac:dyDescent="0.25">
      <c r="A29" s="14" t="s">
        <v>38</v>
      </c>
      <c r="B29">
        <f t="shared" si="0"/>
        <v>29</v>
      </c>
    </row>
    <row r="30" spans="1:2" x14ac:dyDescent="0.25">
      <c r="A30" s="14" t="s">
        <v>39</v>
      </c>
      <c r="B30">
        <f t="shared" si="0"/>
        <v>30</v>
      </c>
    </row>
    <row r="31" spans="1:2" x14ac:dyDescent="0.25">
      <c r="A31" s="14" t="s">
        <v>40</v>
      </c>
      <c r="B31">
        <f t="shared" si="0"/>
        <v>31</v>
      </c>
    </row>
    <row r="32" spans="1:2" x14ac:dyDescent="0.25">
      <c r="A32" s="14" t="s">
        <v>41</v>
      </c>
      <c r="B32">
        <f t="shared" si="0"/>
        <v>32</v>
      </c>
    </row>
    <row r="33" spans="1:2" x14ac:dyDescent="0.25">
      <c r="A33" s="14" t="s">
        <v>42</v>
      </c>
      <c r="B33">
        <f t="shared" si="0"/>
        <v>33</v>
      </c>
    </row>
    <row r="34" spans="1:2" x14ac:dyDescent="0.25">
      <c r="A34" s="14" t="s">
        <v>43</v>
      </c>
      <c r="B34">
        <f t="shared" si="0"/>
        <v>34</v>
      </c>
    </row>
    <row r="35" spans="1:2" x14ac:dyDescent="0.25">
      <c r="A35" s="14" t="s">
        <v>44</v>
      </c>
      <c r="B35">
        <f t="shared" si="0"/>
        <v>35</v>
      </c>
    </row>
    <row r="36" spans="1:2" x14ac:dyDescent="0.25">
      <c r="A36" s="14" t="s">
        <v>85</v>
      </c>
      <c r="B36">
        <f t="shared" si="0"/>
        <v>36</v>
      </c>
    </row>
    <row r="37" spans="1:2" x14ac:dyDescent="0.25">
      <c r="A37" s="14" t="s">
        <v>45</v>
      </c>
      <c r="B37">
        <f t="shared" si="0"/>
        <v>37</v>
      </c>
    </row>
    <row r="38" spans="1:2" x14ac:dyDescent="0.25">
      <c r="A38" s="14" t="s">
        <v>46</v>
      </c>
      <c r="B38">
        <f t="shared" si="0"/>
        <v>38</v>
      </c>
    </row>
    <row r="39" spans="1:2" x14ac:dyDescent="0.25">
      <c r="A39" s="14" t="s">
        <v>47</v>
      </c>
      <c r="B39">
        <f t="shared" si="0"/>
        <v>39</v>
      </c>
    </row>
    <row r="40" spans="1:2" x14ac:dyDescent="0.25">
      <c r="A40" s="14" t="s">
        <v>48</v>
      </c>
      <c r="B40">
        <f t="shared" si="0"/>
        <v>40</v>
      </c>
    </row>
    <row r="41" spans="1:2" x14ac:dyDescent="0.25">
      <c r="A41" s="14" t="s">
        <v>49</v>
      </c>
      <c r="B41">
        <f t="shared" si="0"/>
        <v>41</v>
      </c>
    </row>
    <row r="42" spans="1:2" x14ac:dyDescent="0.25">
      <c r="A42" s="14" t="s">
        <v>50</v>
      </c>
      <c r="B42">
        <f t="shared" si="0"/>
        <v>42</v>
      </c>
    </row>
    <row r="43" spans="1:2" x14ac:dyDescent="0.25">
      <c r="A43" s="14" t="s">
        <v>51</v>
      </c>
      <c r="B43">
        <f t="shared" si="0"/>
        <v>43</v>
      </c>
    </row>
    <row r="44" spans="1:2" x14ac:dyDescent="0.25">
      <c r="A44" s="14" t="s">
        <v>52</v>
      </c>
      <c r="B44">
        <f t="shared" si="0"/>
        <v>44</v>
      </c>
    </row>
    <row r="45" spans="1:2" x14ac:dyDescent="0.25">
      <c r="A45" s="14" t="s">
        <v>53</v>
      </c>
      <c r="B45">
        <f t="shared" si="0"/>
        <v>45</v>
      </c>
    </row>
    <row r="46" spans="1:2" x14ac:dyDescent="0.25">
      <c r="A46" s="14" t="s">
        <v>54</v>
      </c>
      <c r="B46">
        <f t="shared" si="0"/>
        <v>46</v>
      </c>
    </row>
    <row r="47" spans="1:2" x14ac:dyDescent="0.25">
      <c r="A47" s="14" t="s">
        <v>55</v>
      </c>
      <c r="B47">
        <f t="shared" si="0"/>
        <v>47</v>
      </c>
    </row>
    <row r="48" spans="1:2" x14ac:dyDescent="0.25">
      <c r="A48" s="14" t="s">
        <v>56</v>
      </c>
      <c r="B48">
        <f t="shared" si="0"/>
        <v>48</v>
      </c>
    </row>
    <row r="49" spans="1:2" x14ac:dyDescent="0.25">
      <c r="A49" s="14" t="s">
        <v>57</v>
      </c>
      <c r="B49">
        <f t="shared" si="0"/>
        <v>49</v>
      </c>
    </row>
    <row r="50" spans="1:2" x14ac:dyDescent="0.25">
      <c r="A50" s="14" t="s">
        <v>58</v>
      </c>
      <c r="B50">
        <f t="shared" si="0"/>
        <v>50</v>
      </c>
    </row>
    <row r="51" spans="1:2" x14ac:dyDescent="0.25">
      <c r="A51" s="14" t="s">
        <v>59</v>
      </c>
      <c r="B51">
        <f t="shared" si="0"/>
        <v>51</v>
      </c>
    </row>
    <row r="52" spans="1:2" x14ac:dyDescent="0.25">
      <c r="A52" s="14" t="s">
        <v>86</v>
      </c>
      <c r="B52">
        <f t="shared" si="0"/>
        <v>52</v>
      </c>
    </row>
    <row r="53" spans="1:2" x14ac:dyDescent="0.25">
      <c r="A53" s="14" t="s">
        <v>60</v>
      </c>
      <c r="B53">
        <f t="shared" si="0"/>
        <v>53</v>
      </c>
    </row>
    <row r="54" spans="1:2" x14ac:dyDescent="0.25">
      <c r="A54" s="14" t="s">
        <v>61</v>
      </c>
      <c r="B54">
        <f t="shared" si="0"/>
        <v>54</v>
      </c>
    </row>
    <row r="55" spans="1:2" x14ac:dyDescent="0.25">
      <c r="A55" s="14" t="s">
        <v>62</v>
      </c>
      <c r="B55">
        <f t="shared" si="0"/>
        <v>55</v>
      </c>
    </row>
    <row r="56" spans="1:2" x14ac:dyDescent="0.25">
      <c r="A56" s="14" t="s">
        <v>63</v>
      </c>
      <c r="B56">
        <f t="shared" si="0"/>
        <v>56</v>
      </c>
    </row>
    <row r="57" spans="1:2" x14ac:dyDescent="0.25">
      <c r="A57" s="14" t="s">
        <v>64</v>
      </c>
      <c r="B57">
        <f t="shared" si="0"/>
        <v>57</v>
      </c>
    </row>
    <row r="58" spans="1:2" x14ac:dyDescent="0.25">
      <c r="A58" s="14" t="s">
        <v>65</v>
      </c>
      <c r="B58">
        <f t="shared" si="0"/>
        <v>58</v>
      </c>
    </row>
    <row r="59" spans="1:2" x14ac:dyDescent="0.25">
      <c r="A59" s="14" t="s">
        <v>66</v>
      </c>
      <c r="B59">
        <f t="shared" si="0"/>
        <v>59</v>
      </c>
    </row>
    <row r="60" spans="1:2" x14ac:dyDescent="0.25">
      <c r="A60" s="14" t="s">
        <v>67</v>
      </c>
      <c r="B60">
        <f t="shared" si="0"/>
        <v>60</v>
      </c>
    </row>
    <row r="61" spans="1:2" x14ac:dyDescent="0.25">
      <c r="A61" s="14" t="s">
        <v>68</v>
      </c>
      <c r="B61">
        <f t="shared" si="0"/>
        <v>61</v>
      </c>
    </row>
    <row r="62" spans="1:2" x14ac:dyDescent="0.25">
      <c r="A62" s="14" t="s">
        <v>69</v>
      </c>
      <c r="B62">
        <f t="shared" si="0"/>
        <v>62</v>
      </c>
    </row>
    <row r="63" spans="1:2" x14ac:dyDescent="0.25">
      <c r="A63" s="14" t="s">
        <v>70</v>
      </c>
      <c r="B63">
        <f t="shared" si="0"/>
        <v>63</v>
      </c>
    </row>
    <row r="64" spans="1:2" x14ac:dyDescent="0.25">
      <c r="A64" s="14" t="s">
        <v>71</v>
      </c>
      <c r="B64">
        <f t="shared" si="0"/>
        <v>64</v>
      </c>
    </row>
    <row r="65" spans="1:2" x14ac:dyDescent="0.25">
      <c r="A65" s="14" t="s">
        <v>72</v>
      </c>
      <c r="B65">
        <f t="shared" si="0"/>
        <v>65</v>
      </c>
    </row>
    <row r="66" spans="1:2" x14ac:dyDescent="0.25">
      <c r="A66" s="14" t="s">
        <v>73</v>
      </c>
      <c r="B66">
        <f t="shared" si="0"/>
        <v>66</v>
      </c>
    </row>
    <row r="67" spans="1:2" x14ac:dyDescent="0.25">
      <c r="A67" s="14" t="s">
        <v>74</v>
      </c>
      <c r="B67">
        <f t="shared" ref="B67:B81" si="1">B66+1</f>
        <v>67</v>
      </c>
    </row>
    <row r="68" spans="1:2" x14ac:dyDescent="0.25">
      <c r="A68" s="14" t="s">
        <v>75</v>
      </c>
      <c r="B68">
        <f t="shared" si="1"/>
        <v>68</v>
      </c>
    </row>
    <row r="69" spans="1:2" x14ac:dyDescent="0.25">
      <c r="A69" s="14" t="s">
        <v>76</v>
      </c>
      <c r="B69">
        <f t="shared" si="1"/>
        <v>69</v>
      </c>
    </row>
    <row r="70" spans="1:2" x14ac:dyDescent="0.25">
      <c r="A70" s="14" t="s">
        <v>77</v>
      </c>
      <c r="B70">
        <f t="shared" si="1"/>
        <v>70</v>
      </c>
    </row>
    <row r="71" spans="1:2" x14ac:dyDescent="0.25">
      <c r="A71" s="14" t="s">
        <v>78</v>
      </c>
      <c r="B71">
        <f t="shared" si="1"/>
        <v>71</v>
      </c>
    </row>
    <row r="72" spans="1:2" x14ac:dyDescent="0.25">
      <c r="A72" s="14" t="s">
        <v>79</v>
      </c>
      <c r="B72">
        <f t="shared" si="1"/>
        <v>72</v>
      </c>
    </row>
    <row r="73" spans="1:2" x14ac:dyDescent="0.25">
      <c r="A73" s="14" t="s">
        <v>80</v>
      </c>
      <c r="B73">
        <f t="shared" si="1"/>
        <v>73</v>
      </c>
    </row>
    <row r="74" spans="1:2" x14ac:dyDescent="0.25">
      <c r="A74" s="14" t="s">
        <v>81</v>
      </c>
      <c r="B74">
        <f t="shared" si="1"/>
        <v>74</v>
      </c>
    </row>
    <row r="75" spans="1:2" x14ac:dyDescent="0.25">
      <c r="A75" s="14" t="s">
        <v>82</v>
      </c>
      <c r="B75">
        <f t="shared" si="1"/>
        <v>75</v>
      </c>
    </row>
    <row r="76" spans="1:2" x14ac:dyDescent="0.25">
      <c r="A76" s="14" t="s">
        <v>83</v>
      </c>
      <c r="B76">
        <f t="shared" si="1"/>
        <v>76</v>
      </c>
    </row>
    <row r="77" spans="1:2" x14ac:dyDescent="0.25">
      <c r="A77" s="14" t="s">
        <v>16</v>
      </c>
      <c r="B77">
        <f t="shared" si="1"/>
        <v>77</v>
      </c>
    </row>
    <row r="78" spans="1:2" x14ac:dyDescent="0.25">
      <c r="A78" s="14" t="s">
        <v>17</v>
      </c>
      <c r="B78">
        <f t="shared" si="1"/>
        <v>78</v>
      </c>
    </row>
    <row r="79" spans="1:2" x14ac:dyDescent="0.25">
      <c r="A79" s="14" t="s">
        <v>87</v>
      </c>
      <c r="B79">
        <f t="shared" si="1"/>
        <v>79</v>
      </c>
    </row>
    <row r="80" spans="1:2" x14ac:dyDescent="0.25">
      <c r="A80" s="14" t="s">
        <v>88</v>
      </c>
      <c r="B80">
        <f t="shared" si="1"/>
        <v>80</v>
      </c>
    </row>
    <row r="81" spans="1:2" x14ac:dyDescent="0.25">
      <c r="A81" s="15" t="s">
        <v>89</v>
      </c>
      <c r="B81">
        <f t="shared" si="1"/>
        <v>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95E247-4FBE-4F5D-AEC3-27E1E10DA9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Setup</vt:lpstr>
      <vt:lpstr>Data</vt:lpstr>
      <vt:lpstr>Field List</vt:lpstr>
    </vt:vector>
  </TitlesOfParts>
  <Company>Accord MAT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to CTF</dc:title>
  <dc:creator>Marc Coyles</dc:creator>
  <cp:keywords>Table to CTF</cp:keywords>
  <cp:lastModifiedBy>Marc Coyles</cp:lastModifiedBy>
  <dcterms:created xsi:type="dcterms:W3CDTF">2023-04-25T08:08:39Z</dcterms:created>
  <dcterms:modified xsi:type="dcterms:W3CDTF">2023-04-28T13:31:59Z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e7559e1-065f-48bd-9ddf-4bc014495b9d_Enabled">
    <vt:lpwstr>true</vt:lpwstr>
  </property>
  <property fmtid="{D5CDD505-2E9C-101B-9397-08002B2CF9AE}" pid="3" name="MSIP_Label_ce7559e1-065f-48bd-9ddf-4bc014495b9d_SetDate">
    <vt:lpwstr>2023-04-25T09:49:10Z</vt:lpwstr>
  </property>
  <property fmtid="{D5CDD505-2E9C-101B-9397-08002B2CF9AE}" pid="4" name="MSIP_Label_ce7559e1-065f-48bd-9ddf-4bc014495b9d_Method">
    <vt:lpwstr>Standard</vt:lpwstr>
  </property>
  <property fmtid="{D5CDD505-2E9C-101B-9397-08002B2CF9AE}" pid="5" name="MSIP_Label_ce7559e1-065f-48bd-9ddf-4bc014495b9d_Name">
    <vt:lpwstr>defa4170-0d19-0005-0004-bc88714345d2</vt:lpwstr>
  </property>
  <property fmtid="{D5CDD505-2E9C-101B-9397-08002B2CF9AE}" pid="6" name="MSIP_Label_ce7559e1-065f-48bd-9ddf-4bc014495b9d_SiteId">
    <vt:lpwstr>854b4310-0dbf-4241-ae41-4df0a4f8db92</vt:lpwstr>
  </property>
  <property fmtid="{D5CDD505-2E9C-101B-9397-08002B2CF9AE}" pid="7" name="MSIP_Label_ce7559e1-065f-48bd-9ddf-4bc014495b9d_ActionId">
    <vt:lpwstr>6779f17e-5197-4450-a51f-eb45f17abbe2</vt:lpwstr>
  </property>
  <property fmtid="{D5CDD505-2E9C-101B-9397-08002B2CF9AE}" pid="8" name="MSIP_Label_ce7559e1-065f-48bd-9ddf-4bc014495b9d_ContentBits">
    <vt:lpwstr>0</vt:lpwstr>
  </property>
</Properties>
</file>